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KRIPSI\DOKUMEN dan DATA\SFA + CLUSTERING\DATA\"/>
    </mc:Choice>
  </mc:AlternateContent>
  <xr:revisionPtr revIDLastSave="0" documentId="13_ncr:1_{80AE5D25-15E3-480C-8543-6FDC97A5B556}" xr6:coauthVersionLast="47" xr6:coauthVersionMax="47" xr10:uidLastSave="{00000000-0000-0000-0000-000000000000}"/>
  <bookViews>
    <workbookView xWindow="-120" yWindow="-120" windowWidth="20730" windowHeight="11040" firstSheet="1" activeTab="5" xr2:uid="{E9779888-DA3F-4312-8E4B-DDB854624AEF}"/>
  </bookViews>
  <sheets>
    <sheet name="Data SFA" sheetId="1" r:id="rId1"/>
    <sheet name="Sheet3" sheetId="5" r:id="rId2"/>
    <sheet name="Sheet1" sheetId="3" r:id="rId3"/>
    <sheet name="Sheet4" sheetId="7" r:id="rId4"/>
    <sheet name="Sheet2" sheetId="4" r:id="rId5"/>
    <sheet name="SFA" sheetId="6" r:id="rId6"/>
    <sheet name="Clustering" sheetId="8" r:id="rId7"/>
    <sheet name="Data Clustering" sheetId="2" r:id="rId8"/>
    <sheet name="Sheet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8" l="1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</calcChain>
</file>

<file path=xl/sharedStrings.xml><?xml version="1.0" encoding="utf-8"?>
<sst xmlns="http://schemas.openxmlformats.org/spreadsheetml/2006/main" count="363" uniqueCount="167">
  <si>
    <t xml:space="preserve">No. </t>
  </si>
  <si>
    <t>Satuan PLN/Provinsi</t>
  </si>
  <si>
    <t>Installed Capacity</t>
  </si>
  <si>
    <t>The Length of Medium-Voltage Distribution Lines</t>
  </si>
  <si>
    <t>The Electrification Ratio</t>
  </si>
  <si>
    <t xml:space="preserve">Distribution Otutage Frequency </t>
  </si>
  <si>
    <t>Average Electritriciy Tariff</t>
  </si>
  <si>
    <t xml:space="preserve">Sold Energy </t>
  </si>
  <si>
    <t>UID Aceh</t>
  </si>
  <si>
    <t>UID Sumatera Utara</t>
  </si>
  <si>
    <t>UID Sumatera Barat</t>
  </si>
  <si>
    <t>UID Riau</t>
  </si>
  <si>
    <t>UID Kepulauan Riau</t>
  </si>
  <si>
    <t>UID Sumatera Selatan</t>
  </si>
  <si>
    <t>UID Jambi</t>
  </si>
  <si>
    <t>UID Bengkulu</t>
  </si>
  <si>
    <t>UIW Bangka Belitung</t>
  </si>
  <si>
    <t>UID Lampung</t>
  </si>
  <si>
    <t>UID Kalimantan Barat</t>
  </si>
  <si>
    <t>UID Kalimantan Selatan</t>
  </si>
  <si>
    <t>UID Kalimantan Tengah</t>
  </si>
  <si>
    <t>UID Kalimantan Timur dan Utara</t>
  </si>
  <si>
    <t>UID Sulawesi Utara</t>
  </si>
  <si>
    <t>UID Sulawesi Tengah</t>
  </si>
  <si>
    <t>UID Gorontalo</t>
  </si>
  <si>
    <t>UID Sulawesi Selatan</t>
  </si>
  <si>
    <t>UID Sulawesi Tenggara</t>
  </si>
  <si>
    <t>UID Sulawesi Barat</t>
  </si>
  <si>
    <t>UIW Maluku</t>
  </si>
  <si>
    <t>UIW Maluku Utara</t>
  </si>
  <si>
    <t xml:space="preserve">UIW Papua </t>
  </si>
  <si>
    <t>UIW Papua Barat</t>
  </si>
  <si>
    <t>UID Bali</t>
  </si>
  <si>
    <t>UIW Nusa Tenggara Barat</t>
  </si>
  <si>
    <t>UIW Nusa Tenggara Timur</t>
  </si>
  <si>
    <t>UID Jawa Timur</t>
  </si>
  <si>
    <t>UID Jawa Tengah</t>
  </si>
  <si>
    <t>UID D.I. Yogyakarta</t>
  </si>
  <si>
    <t>UID Jawa Barat</t>
  </si>
  <si>
    <t>UID Banten</t>
  </si>
  <si>
    <t>UID Jakarta Raya</t>
  </si>
  <si>
    <t>Efficiency Score</t>
  </si>
  <si>
    <t>Proportion of Owned Power Plant Capacity</t>
  </si>
  <si>
    <t>Proportion of Power Plant Capacity Rental</t>
  </si>
  <si>
    <t>Proportion of Power Plant Capacity Resulting from the Project</t>
  </si>
  <si>
    <t>Proportion of Energy Sold to Residential</t>
  </si>
  <si>
    <t>Proportion of Energy Sold to Industrial</t>
  </si>
  <si>
    <t>Proportion of Energy Sold to Business Customers</t>
  </si>
  <si>
    <t>Proportion of Energy Sold to Government Office</t>
  </si>
  <si>
    <t>Proportion of Energy Sold to Social Customer</t>
  </si>
  <si>
    <t>Proportion of Energy Sold for Public Street Lighting</t>
  </si>
  <si>
    <t>Proportion of Energy Sold to Other Customer</t>
  </si>
  <si>
    <t>Proportion of Renewable Energy</t>
  </si>
  <si>
    <t>Proportion of Non Renewable Energy</t>
  </si>
  <si>
    <t>Satuan</t>
  </si>
  <si>
    <t>UID Riau dan Kepulauan Riau</t>
  </si>
  <si>
    <t>Riau</t>
  </si>
  <si>
    <t>Kepulauan Riau</t>
  </si>
  <si>
    <t>UID Sumatera Selatan Jambi Bengkulu</t>
  </si>
  <si>
    <t>Sumatera Selatan</t>
  </si>
  <si>
    <t>Jambi</t>
  </si>
  <si>
    <t>Bengkulu</t>
  </si>
  <si>
    <t>UID Kalimantan Selatan Tengah</t>
  </si>
  <si>
    <t>Kalimantan Selatan</t>
  </si>
  <si>
    <t>Kalimantan Tengah</t>
  </si>
  <si>
    <t>UID Kalimantan Timur Utara</t>
  </si>
  <si>
    <t>UID Sulut Sulteng Gorontalo</t>
  </si>
  <si>
    <t>Sulawesi Utara</t>
  </si>
  <si>
    <t>Sulawesi Tengah</t>
  </si>
  <si>
    <t>Gorontalo</t>
  </si>
  <si>
    <t>UID Sulsel Sultra Sulbar</t>
  </si>
  <si>
    <t>Sulawesi Selatan</t>
  </si>
  <si>
    <t>Sulawesi Tenggara</t>
  </si>
  <si>
    <t>Sulawesi Barat</t>
  </si>
  <si>
    <t>UIW Maluku Maluku Utara</t>
  </si>
  <si>
    <t>Maluku</t>
  </si>
  <si>
    <t>Maluku Utara</t>
  </si>
  <si>
    <t>UIW Papua Papua Barat</t>
  </si>
  <si>
    <t>Papua</t>
  </si>
  <si>
    <t>Papua Barat</t>
  </si>
  <si>
    <t>PT PLN Batam</t>
  </si>
  <si>
    <t>UIK Kalimantan</t>
  </si>
  <si>
    <t>UIK Sulawesi</t>
  </si>
  <si>
    <t>UIK Sumatera</t>
  </si>
  <si>
    <t>PLN Indonesia Power Kalimantan</t>
  </si>
  <si>
    <t>PLN Indonesia Power Sulawesi</t>
  </si>
  <si>
    <t>PLN Indonesia Power Sumatera</t>
  </si>
  <si>
    <t>PLN Nusantara Power Kalimantan</t>
  </si>
  <si>
    <t>PLN Nusantara Power Sulawesi</t>
  </si>
  <si>
    <t>PLN Nusantara Power Sumatera</t>
  </si>
  <si>
    <t>PLN Nusantara Power Maluku Utara</t>
  </si>
  <si>
    <t>Luar Jawa</t>
  </si>
  <si>
    <t>Jawa</t>
  </si>
  <si>
    <t>Indonesia</t>
  </si>
  <si>
    <t>Daya Mampu</t>
  </si>
  <si>
    <t>Column1</t>
  </si>
  <si>
    <t>Jumlah Unit Pembangkit</t>
  </si>
  <si>
    <t xml:space="preserve">Pemakain </t>
  </si>
  <si>
    <t>Daya</t>
  </si>
  <si>
    <t>Jumlah Pelanggan</t>
  </si>
  <si>
    <t>pendapatan</t>
  </si>
  <si>
    <r>
      <t xml:space="preserve">Berikut tabel ringkas dengan dua kolom: </t>
    </r>
    <r>
      <rPr>
        <b/>
        <sz val="11"/>
        <color theme="1"/>
        <rFont val="Calibri"/>
        <family val="2"/>
        <scheme val="minor"/>
      </rPr>
      <t>Unit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Beban Puncak (MW, 2024)</t>
    </r>
    <r>
      <rPr>
        <sz val="11"/>
        <color theme="1"/>
        <rFont val="Calibri"/>
        <family val="2"/>
        <scheme val="minor"/>
      </rPr>
      <t>. Angka diambil dari kolom terakhir pada data yang kamu kirim.</t>
    </r>
  </si>
  <si>
    <t>Unit</t>
  </si>
  <si>
    <t>Beban Puncak (MW)</t>
  </si>
  <si>
    <t>└─ Riau</t>
  </si>
  <si>
    <t>└─ Kepulauan Riau</t>
  </si>
  <si>
    <t>└─ Sumatera Selatan</t>
  </si>
  <si>
    <t>└─ Jambi</t>
  </si>
  <si>
    <t>└─ Bengkulu</t>
  </si>
  <si>
    <t>└─ Kalimantan Selatan</t>
  </si>
  <si>
    <t>└─ Kalimantan Tengah</t>
  </si>
  <si>
    <t>└─ Sulawesi Utara</t>
  </si>
  <si>
    <t>└─ Sulawesi Tengah</t>
  </si>
  <si>
    <t>└─ Gorontalo</t>
  </si>
  <si>
    <t>└─ Sulawesi Selatan</t>
  </si>
  <si>
    <t>└─ Sulawesi Tenggara</t>
  </si>
  <si>
    <t>└─ Sulawesi Barat</t>
  </si>
  <si>
    <t>-</t>
  </si>
  <si>
    <t>└─ Maluku</t>
  </si>
  <si>
    <t>└─ Maluku Utara</t>
  </si>
  <si>
    <t>└─ Papua</t>
  </si>
  <si>
    <t>└─ Papua Barat</t>
  </si>
  <si>
    <t>└─ Jawa Tengah</t>
  </si>
  <si>
    <t>└─ D.I. Yogyakarta</t>
  </si>
  <si>
    <r>
      <t xml:space="preserve">Jika kamu ingin </t>
    </r>
    <r>
      <rPr>
        <b/>
        <sz val="11"/>
        <color theme="1"/>
        <rFont val="Calibri"/>
        <family val="2"/>
        <scheme val="minor"/>
      </rPr>
      <t>tiga kolom tahun (mis. 2022–2024)</t>
    </r>
    <r>
      <rPr>
        <sz val="11"/>
        <color theme="1"/>
        <rFont val="Calibri"/>
        <family val="2"/>
        <scheme val="minor"/>
      </rPr>
      <t xml:space="preserve"> atau </t>
    </r>
    <r>
      <rPr>
        <b/>
        <sz val="11"/>
        <color theme="1"/>
        <rFont val="Calibri"/>
        <family val="2"/>
        <scheme val="minor"/>
      </rPr>
      <t>format CSV/Excel</t>
    </r>
    <r>
      <rPr>
        <sz val="11"/>
        <color theme="1"/>
        <rFont val="Calibri"/>
        <family val="2"/>
        <scheme val="minor"/>
      </rPr>
      <t>, bilang ya—langsung aku ubahkan.</t>
    </r>
  </si>
  <si>
    <t>Beban  Puncak</t>
  </si>
  <si>
    <t>Satuan Unit</t>
  </si>
  <si>
    <t xml:space="preserve">Unit Pembangkit </t>
  </si>
  <si>
    <t>Kapasitas Terpasang</t>
  </si>
  <si>
    <t>Energi Yang diproduksi</t>
  </si>
  <si>
    <t xml:space="preserve">Daya Mampu </t>
  </si>
  <si>
    <t>Uid Aceh</t>
  </si>
  <si>
    <t>Uid Sumatera Utara</t>
  </si>
  <si>
    <t>Uid Sumatera Barat</t>
  </si>
  <si>
    <t>Uid Kalimantan Barat</t>
  </si>
  <si>
    <t>Uid Kalimantan Timur dan Utara</t>
  </si>
  <si>
    <t>UIP3B Sumatera</t>
  </si>
  <si>
    <t>UIP3B Kalimantan</t>
  </si>
  <si>
    <t>UIP3B Sulawesi</t>
  </si>
  <si>
    <t>PLN Indonesia Power - Kalimantan</t>
  </si>
  <si>
    <t>PLN Indonesia Power - Sulawesi</t>
  </si>
  <si>
    <t>PLN Indonesia Power - Sumatera</t>
  </si>
  <si>
    <t>PLN Nusantara Power - Kalimantan</t>
  </si>
  <si>
    <t>PLN Nusantara Power - Sulawesi</t>
  </si>
  <si>
    <t>PLN Nusantara Power - Sumatera</t>
  </si>
  <si>
    <t>PLN Nusantara Power - Maluku Utara</t>
  </si>
  <si>
    <t>Uid Jawa Timur</t>
  </si>
  <si>
    <t>Jawa Tengah</t>
  </si>
  <si>
    <t>D.I. Yogyakarta</t>
  </si>
  <si>
    <t>Uid Jawa Barat</t>
  </si>
  <si>
    <t>Uid Banten</t>
  </si>
  <si>
    <t>Uid Jakarta Raya</t>
  </si>
  <si>
    <t>PLN Indonesia Power - Jawabali</t>
  </si>
  <si>
    <t>PLN Nusantara Power - Jawabali</t>
  </si>
  <si>
    <t>Unit Induk Pusat Pengaturan Beban</t>
  </si>
  <si>
    <t>UIK Tanjung Jati B</t>
  </si>
  <si>
    <t>UIK JAMALI</t>
  </si>
  <si>
    <t>Length of Medium-Voltage Lines</t>
  </si>
  <si>
    <t>UID/UIW</t>
  </si>
  <si>
    <t>Jumlah</t>
  </si>
  <si>
    <t>Sewa</t>
  </si>
  <si>
    <t>IPP</t>
  </si>
  <si>
    <t>Power Plant Capacity Rental and Resulting from the Project</t>
  </si>
  <si>
    <t>TE</t>
  </si>
  <si>
    <t>Input3</t>
  </si>
  <si>
    <t>cluster</t>
  </si>
  <si>
    <t>Connected Load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</si>
</sst>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3" borderId="1" xfId="0" applyFill="1" applyBorder="1" applyAlignment="1">
      <alignment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2" fillId="2" borderId="1" xfId="0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0" fontId="0" fillId="0" borderId="8" xfId="0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9" xfId="0" applyBorder="1"/>
    <xf numFmtId="0" fontId="0" fillId="0" borderId="9" xfId="0" applyBorder="1" applyAlignment="1">
      <alignment vertical="center" wrapText="1"/>
    </xf>
    <xf numFmtId="2" fontId="0" fillId="0" borderId="9" xfId="0" applyNumberForma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2" fontId="2" fillId="2" borderId="1" xfId="0" applyNumberFormat="1" applyFon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4" borderId="1" xfId="0" applyFill="1" applyBorder="1"/>
    <xf numFmtId="0" fontId="0" fillId="2" borderId="1" xfId="0" applyFill="1" applyBorder="1" applyAlignment="1">
      <alignment vertical="center"/>
    </xf>
    <xf numFmtId="0" fontId="0" fillId="4" borderId="7" xfId="0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4" borderId="9" xfId="0" applyFill="1" applyBorder="1"/>
    <xf numFmtId="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2" fontId="0" fillId="0" borderId="0" xfId="0" applyNumberFormat="1"/>
    <xf numFmtId="0" fontId="0" fillId="0" borderId="10" xfId="0" applyBorder="1"/>
    <xf numFmtId="0" fontId="1" fillId="5" borderId="1" xfId="0" applyFont="1" applyFill="1" applyBorder="1"/>
    <xf numFmtId="0" fontId="0" fillId="4" borderId="11" xfId="0" applyFill="1" applyBorder="1"/>
    <xf numFmtId="0" fontId="0" fillId="0" borderId="11" xfId="0" applyBorder="1"/>
    <xf numFmtId="0" fontId="0" fillId="4" borderId="13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1" fillId="5" borderId="7" xfId="0" applyFont="1" applyFill="1" applyBorder="1" applyAlignment="1">
      <alignment horizontal="center" vertical="center" wrapText="1"/>
    </xf>
    <xf numFmtId="2" fontId="2" fillId="2" borderId="7" xfId="0" applyNumberFormat="1" applyFont="1" applyFill="1" applyBorder="1" applyAlignment="1">
      <alignment vertical="center"/>
    </xf>
    <xf numFmtId="2" fontId="0" fillId="0" borderId="7" xfId="0" applyNumberFormat="1" applyBorder="1" applyAlignment="1">
      <alignment vertical="center"/>
    </xf>
    <xf numFmtId="0" fontId="0" fillId="4" borderId="7" xfId="0" applyFill="1" applyBorder="1"/>
    <xf numFmtId="0" fontId="0" fillId="0" borderId="7" xfId="0" applyBorder="1"/>
    <xf numFmtId="0" fontId="0" fillId="3" borderId="7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5" borderId="14" xfId="0" applyFont="1" applyFill="1" applyBorder="1"/>
    <xf numFmtId="2" fontId="0" fillId="4" borderId="11" xfId="0" applyNumberFormat="1" applyFill="1" applyBorder="1"/>
    <xf numFmtId="2" fontId="0" fillId="0" borderId="11" xfId="0" applyNumberFormat="1" applyBorder="1"/>
    <xf numFmtId="2" fontId="0" fillId="4" borderId="13" xfId="0" applyNumberFormat="1" applyFill="1" applyBorder="1"/>
  </cellXfs>
  <cellStyles count="1">
    <cellStyle name="Normal" xfId="0" builtinId="0"/>
  </cellStyles>
  <dxfs count="59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73C5A-C393-4F9C-B27E-3964CA1012D9}" name="Table1" displayName="Table1" ref="A2:O35" totalsRowShown="0" headerRowDxfId="50" headerRowBorderDxfId="49" tableBorderDxfId="48" totalsRowBorderDxfId="47">
  <autoFilter ref="A2:O35" xr:uid="{4ED73C5A-C393-4F9C-B27E-3964CA1012D9}"/>
  <tableColumns count="15">
    <tableColumn id="1" xr3:uid="{046D7CBB-27C7-4546-8062-EB2D37DC957E}" name="No. " dataDxfId="46"/>
    <tableColumn id="2" xr3:uid="{5816FF16-5E56-41AB-BB3D-5D55032ECB50}" name="Satuan PLN/Provinsi" dataDxfId="45"/>
    <tableColumn id="3" xr3:uid="{EAE0D416-AA20-4A30-974D-198120E709B4}" name="Installed Capacity" dataDxfId="44"/>
    <tableColumn id="4" xr3:uid="{A3AECB33-B6E9-4A21-90E8-BDAB347A8373}" name="The Length of Medium-Voltage Distribution Lines" dataDxfId="43"/>
    <tableColumn id="5" xr3:uid="{8AC60220-B0CF-4216-B099-1E0F9F1B8838}" name="The Electrification Ratio" dataDxfId="42"/>
    <tableColumn id="6" xr3:uid="{304A9284-1E16-4DAF-A4FE-7468B89D2D8E}" name="Distribution Otutage Frequency " dataDxfId="41"/>
    <tableColumn id="7" xr3:uid="{BC18529B-F608-4304-A593-619A5685265C}" name="Average Electritriciy Tariff" dataDxfId="40"/>
    <tableColumn id="8" xr3:uid="{8ABDBE72-02AA-4A87-8A92-3E97DC202A93}" name="Sold Energy " dataDxfId="39"/>
    <tableColumn id="9" xr3:uid="{08CB88E1-A382-4057-9DD5-B9D7D186E920}" name="Jumlah Unit Pembangkit" dataDxfId="38"/>
    <tableColumn id="10" xr3:uid="{E546C2CA-BB26-4638-A09C-5588AE2A5811}" name="Pemakain " dataDxfId="37"/>
    <tableColumn id="11" xr3:uid="{E3C26B92-7B3E-4EDA-BBD4-5B2D83A6DDE7}" name="Daya Mampu" dataDxfId="36"/>
    <tableColumn id="12" xr3:uid="{28F5CCF4-3818-40D9-A2BF-F6E149D9B3ED}" name="Daya" dataDxfId="35"/>
    <tableColumn id="13" xr3:uid="{5033CF88-D6B5-43DA-A9B3-0A63BA072678}" name="Jumlah Pelanggan" dataDxfId="34"/>
    <tableColumn id="14" xr3:uid="{329BB920-C6C1-4CB0-B0D4-726BFAFC456E}" name="pendapatan" dataDxfId="33"/>
    <tableColumn id="15" xr3:uid="{BFA81242-ABDA-4E48-AA65-E8850D0D9F07}" name="Beban  Puncak" dataDxfId="3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DBBD11-567F-4B1A-A775-62C0156C2CD7}" name="Table3" displayName="Table3" ref="A1:E53" totalsRowShown="0">
  <autoFilter ref="A1:E53" xr:uid="{CCDBBD11-567F-4B1A-A775-62C0156C2CD7}"/>
  <tableColumns count="5">
    <tableColumn id="1" xr3:uid="{84032266-E1A4-455E-BCCB-AE7C4D3213BD}" name="Satuan Unit"/>
    <tableColumn id="2" xr3:uid="{11037DE1-212F-4C44-BD95-1F8A243C7BE5}" name="Unit Pembangkit " dataDxfId="31"/>
    <tableColumn id="3" xr3:uid="{09C4D91D-22D6-47A2-87C4-CA34C443370C}" name="Kapasitas Terpasang" dataDxfId="30"/>
    <tableColumn id="4" xr3:uid="{F67264FC-72AE-4C20-B490-8AA91869E322}" name="Energi Yang diproduksi" dataDxfId="29"/>
    <tableColumn id="5" xr3:uid="{BDC44027-E558-43AA-B304-064FDDE10A20}" name="Daya Mampu " dataDxfId="2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18F0A-C288-4E3E-863E-2668A73FB367}" name="Table4" displayName="Table4" ref="A2:F35" totalsRowShown="0" headerRowBorderDxfId="58" tableBorderDxfId="57">
  <autoFilter ref="A2:F35" xr:uid="{9AA18F0A-C288-4E3E-863E-2668A73FB367}"/>
  <tableColumns count="6">
    <tableColumn id="1" xr3:uid="{6F82BF30-1E8B-4840-ACDE-342D95A8D1B5}" name="No. " dataDxfId="56"/>
    <tableColumn id="2" xr3:uid="{9FECFB19-A66B-4B4D-9AFA-60B78B567A0A}" name="Satuan PLN/Provinsi" dataDxfId="55"/>
    <tableColumn id="3" xr3:uid="{6635F1D4-1486-4AC4-BB76-55530E8D68A3}" name="Length of Medium-Voltage Lines" dataDxfId="54"/>
    <tableColumn id="4" xr3:uid="{AAFAE9DA-2063-484A-ACBF-05E4B0DC62A5}" name="Average Electritriciy Tariff" dataDxfId="53"/>
    <tableColumn id="5" xr3:uid="{7D01BF82-1EFD-4512-92F3-BFE9035BE937}" name="Connected Load of Customer" dataDxfId="52"/>
    <tableColumn id="6" xr3:uid="{8FFF8CA1-D876-47E9-8D8A-7E651A263CD1}" name="Sold Energy " dataDxfId="51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625C5B-AA30-41C5-8EC7-306F96DFDA38}" name="Table5" displayName="Table5" ref="A1:J34" totalsRowShown="0" tableBorderDxfId="27">
  <autoFilter ref="A1:J34" xr:uid="{A9625C5B-AA30-41C5-8EC7-306F96DFDA38}"/>
  <tableColumns count="10">
    <tableColumn id="1" xr3:uid="{5CDBC807-50E2-4CDE-9629-D46A3D84FE84}" name="Satuan PLN/Provinsi" dataDxfId="26"/>
    <tableColumn id="2" xr3:uid="{5893D8C6-0D61-4E8F-8190-F7F6B91A0C23}" name="TE" dataDxfId="25"/>
    <tableColumn id="3" xr3:uid="{6129E068-D41A-4BD8-AC9B-4E058DC747C6}" name="Input3" dataDxfId="24"/>
    <tableColumn id="4" xr3:uid="{F271D002-4008-47A5-A6B6-DB66FE93E108}" name="Proportion of Non Renewable Energy" dataDxfId="23"/>
    <tableColumn id="5" xr3:uid="{CB1BD195-FF73-4045-900B-2CE6B9D55DB3}" name="Proportion of Renewable Energy" dataDxfId="22"/>
    <tableColumn id="6" xr3:uid="{68034F97-8B63-4644-AF3B-E3694AB834DD}" name="Distribution Otutage Frequency " dataDxfId="21"/>
    <tableColumn id="7" xr3:uid="{0A422B38-34D6-46F7-82CA-F03FF3869D09}" name="cluster"/>
    <tableColumn id="8" xr3:uid="{FBCA2D0F-B5DA-43EA-A01F-275387B18327}" name="Proportion of Owned Power Plant Capacity"/>
    <tableColumn id="9" xr3:uid="{2CBC51DD-DA9F-42BB-A279-175C689F4579}" name="Power Plant Capacity Rental and Resulting from the Project">
      <calculatedColumnFormula>SUM(Table2[[#This Row],[Proportion of Power Plant Capacity Rental]:[Proportion of Power Plant Capacity Resulting from the Project]])</calculatedColumnFormula>
    </tableColumn>
    <tableColumn id="10" xr3:uid="{A7C1C551-AC72-4A1D-BAFB-5D37C85A982B}" name="Installed Capacity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5EFB20-2BA1-491E-95DD-D85EF737664C}" name="Table2" displayName="Table2" ref="A2:Q35" totalsRowShown="0" headerRowDxfId="20" headerRowBorderDxfId="19" tableBorderDxfId="18" totalsRowBorderDxfId="17">
  <autoFilter ref="A2:Q35" xr:uid="{BB5EFB20-2BA1-491E-95DD-D85EF737664C}"/>
  <tableColumns count="17">
    <tableColumn id="1" xr3:uid="{A2343B11-0CF0-4225-B797-563BA0674E61}" name="No. " dataDxfId="16"/>
    <tableColumn id="2" xr3:uid="{838E70CB-5885-4396-BBB0-995B6AB693F7}" name="Satuan PLN/Provinsi" dataDxfId="15"/>
    <tableColumn id="3" xr3:uid="{B7A8A83C-515E-4A8E-81AF-A9E3F9C479B8}" name="Efficiency Score" dataDxfId="14"/>
    <tableColumn id="4" xr3:uid="{6BFC850F-6D3D-4A12-A20F-E99220B2D3B8}" name="Proportion of Non Renewable Energy" dataDxfId="13"/>
    <tableColumn id="5" xr3:uid="{A4429D81-CA52-45CC-B860-CCF5B03BC6C0}" name="Proportion of Renewable Energy" dataDxfId="12"/>
    <tableColumn id="6" xr3:uid="{F10819C3-1FCC-41D9-9745-790462C88E36}" name="Proportion of Owned Power Plant Capacity" dataDxfId="11"/>
    <tableColumn id="17" xr3:uid="{641E9600-9BC6-4381-B453-7902D0CDDA39}" name="Power Plant Capacity Rental and Resulting from the Project" dataDxfId="10">
      <calculatedColumnFormula>SUM(Table2[[#This Row],[Proportion of Power Plant Capacity Rental]:[Proportion of Power Plant Capacity Resulting from the Project]])</calculatedColumnFormula>
    </tableColumn>
    <tableColumn id="7" xr3:uid="{B903D55B-6EA4-4E83-BB1B-F47FC538D0EF}" name="Proportion of Power Plant Capacity Rental" dataDxfId="9"/>
    <tableColumn id="8" xr3:uid="{7AC63E9F-0BE3-41DA-98BB-78EF3C427FDA}" name="Proportion of Power Plant Capacity Resulting from the Project" dataDxfId="8"/>
    <tableColumn id="9" xr3:uid="{9BCA04C4-1553-4648-9599-8E76975C79E5}" name="Proportion of Energy Sold to Residential" dataDxfId="7"/>
    <tableColumn id="10" xr3:uid="{65239D6B-B566-4346-A098-C27E8A7EA7D9}" name="Proportion of Energy Sold to Industrial" dataDxfId="6"/>
    <tableColumn id="11" xr3:uid="{BF80643D-C662-4D97-9BB9-8DB9A76E530B}" name="Proportion of Energy Sold to Business Customers" dataDxfId="5"/>
    <tableColumn id="12" xr3:uid="{1559E0CA-5A33-46EA-B151-7883A5F2EA58}" name="Proportion of Energy Sold to Social Customer" dataDxfId="4"/>
    <tableColumn id="13" xr3:uid="{17F66E74-02E3-4687-8DC7-CD1991E7297C}" name="Proportion of Energy Sold to Government Office" dataDxfId="3"/>
    <tableColumn id="14" xr3:uid="{41CD91ED-6AC4-485F-968C-7C3AC06D281A}" name="Proportion of Energy Sold for Public Street Lighting" dataDxfId="2"/>
    <tableColumn id="15" xr3:uid="{3F837757-B314-4CE5-B653-746CD45F3005}" name="Proportion of Energy Sold to Other Customer" dataDxfId="1"/>
    <tableColumn id="16" xr3:uid="{696267E7-12FA-4B49-B7C0-88551174B5AE}" name="Column1" dataDxfId="0">
      <calculatedColumnFormula>SUM(Table2[[#This Row],[Proportion of Non Renewable Energy]:[Proportion of Renewable Energy]])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5D45-D8C2-4BC1-AC51-453228F646FF}">
  <dimension ref="A1:O35"/>
  <sheetViews>
    <sheetView topLeftCell="A19" workbookViewId="0">
      <selection activeCell="C2" sqref="C2:C35"/>
    </sheetView>
  </sheetViews>
  <sheetFormatPr defaultRowHeight="15" x14ac:dyDescent="0.25"/>
  <cols>
    <col min="2" max="2" width="33.85546875" customWidth="1"/>
    <col min="3" max="3" width="18.7109375" customWidth="1"/>
    <col min="4" max="4" width="46.7109375" customWidth="1"/>
    <col min="5" max="5" width="24.140625" customWidth="1"/>
    <col min="6" max="6" width="32.7109375" customWidth="1"/>
    <col min="7" max="7" width="26" customWidth="1"/>
    <col min="8" max="8" width="17.5703125" customWidth="1"/>
    <col min="9" max="9" width="16.5703125" customWidth="1"/>
    <col min="13" max="13" width="15.85546875" customWidth="1"/>
  </cols>
  <sheetData>
    <row r="1" spans="1:15" x14ac:dyDescent="0.25"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4" t="s">
        <v>96</v>
      </c>
      <c r="J2" s="4" t="s">
        <v>97</v>
      </c>
      <c r="K2" s="4" t="s">
        <v>94</v>
      </c>
      <c r="L2" s="4" t="s">
        <v>98</v>
      </c>
      <c r="M2" s="4" t="s">
        <v>99</v>
      </c>
      <c r="N2" s="4" t="s">
        <v>100</v>
      </c>
      <c r="O2" s="4" t="s">
        <v>125</v>
      </c>
    </row>
    <row r="3" spans="1:15" x14ac:dyDescent="0.25">
      <c r="A3" s="18">
        <v>1</v>
      </c>
      <c r="B3" s="6" t="s">
        <v>8</v>
      </c>
      <c r="C3" s="7">
        <v>179.49</v>
      </c>
      <c r="D3" s="8">
        <v>14607</v>
      </c>
      <c r="E3" s="9">
        <v>99.98</v>
      </c>
      <c r="F3">
        <v>4985</v>
      </c>
      <c r="G3" s="8">
        <v>1029.3599999999999</v>
      </c>
      <c r="H3" s="10">
        <v>3696.14</v>
      </c>
      <c r="I3" s="4">
        <v>206</v>
      </c>
      <c r="J3" s="4">
        <v>45632.639999999999</v>
      </c>
      <c r="K3">
        <v>144.01</v>
      </c>
      <c r="L3" s="4">
        <v>2323.4299999999998</v>
      </c>
      <c r="M3" s="4">
        <v>1791668</v>
      </c>
      <c r="N3" s="4">
        <v>3804657.51</v>
      </c>
      <c r="O3" s="38">
        <v>118.85</v>
      </c>
    </row>
    <row r="4" spans="1:15" x14ac:dyDescent="0.25">
      <c r="A4" s="18">
        <v>2</v>
      </c>
      <c r="B4" s="9" t="s">
        <v>9</v>
      </c>
      <c r="C4" s="11">
        <v>210.06</v>
      </c>
      <c r="D4" s="8">
        <v>30425.95</v>
      </c>
      <c r="E4" s="9">
        <v>99.81</v>
      </c>
      <c r="F4">
        <v>1257</v>
      </c>
      <c r="G4" s="8">
        <v>1156.74</v>
      </c>
      <c r="H4" s="10">
        <v>13234.26</v>
      </c>
      <c r="I4" s="8">
        <v>56</v>
      </c>
      <c r="J4" s="8">
        <v>2209.96</v>
      </c>
      <c r="K4">
        <v>209.21</v>
      </c>
      <c r="L4" s="8">
        <v>7868.06</v>
      </c>
      <c r="M4" s="8">
        <v>4633553</v>
      </c>
      <c r="N4" s="8">
        <v>15308573.08</v>
      </c>
      <c r="O4" s="37">
        <v>205.7</v>
      </c>
    </row>
    <row r="5" spans="1:15" x14ac:dyDescent="0.25">
      <c r="A5" s="18">
        <v>3</v>
      </c>
      <c r="B5" s="8" t="s">
        <v>10</v>
      </c>
      <c r="C5" s="7">
        <v>91.63</v>
      </c>
      <c r="D5" s="8">
        <v>11518.76</v>
      </c>
      <c r="E5" s="9">
        <v>98.88</v>
      </c>
      <c r="F5">
        <v>1286</v>
      </c>
      <c r="G5" s="8">
        <v>1119.24</v>
      </c>
      <c r="H5" s="10">
        <v>3955.88</v>
      </c>
      <c r="I5" s="8">
        <v>102</v>
      </c>
      <c r="J5" s="8">
        <v>8549.08</v>
      </c>
      <c r="K5">
        <v>86.21</v>
      </c>
      <c r="L5" s="8">
        <v>2569.11</v>
      </c>
      <c r="M5" s="8">
        <v>1761911</v>
      </c>
      <c r="N5" s="8">
        <v>4427572.32</v>
      </c>
      <c r="O5" s="37">
        <v>73.430000000000007</v>
      </c>
    </row>
    <row r="6" spans="1:15" x14ac:dyDescent="0.25">
      <c r="A6" s="18">
        <v>4</v>
      </c>
      <c r="B6" s="8" t="s">
        <v>11</v>
      </c>
      <c r="C6" s="8">
        <v>486.37</v>
      </c>
      <c r="D6" s="8">
        <v>16019.05</v>
      </c>
      <c r="E6" s="9">
        <v>95.19</v>
      </c>
      <c r="F6">
        <v>107</v>
      </c>
      <c r="G6" s="8">
        <v>987.85</v>
      </c>
      <c r="H6" s="10">
        <v>8815.68</v>
      </c>
      <c r="I6" s="8">
        <v>274</v>
      </c>
      <c r="J6" s="8">
        <v>88577.9</v>
      </c>
      <c r="K6">
        <v>445.93</v>
      </c>
      <c r="L6" s="8">
        <v>4509.1499999999996</v>
      </c>
      <c r="M6" s="8">
        <v>2283877</v>
      </c>
      <c r="N6" s="8">
        <v>8708564.1699999999</v>
      </c>
      <c r="O6" s="37">
        <v>379.77</v>
      </c>
    </row>
    <row r="7" spans="1:15" x14ac:dyDescent="0.25">
      <c r="A7" s="18">
        <v>5</v>
      </c>
      <c r="B7" s="8" t="s">
        <v>12</v>
      </c>
      <c r="C7" s="8">
        <v>166.34</v>
      </c>
      <c r="D7" s="8">
        <v>2573.75</v>
      </c>
      <c r="E7" s="9">
        <v>99.49</v>
      </c>
      <c r="F7">
        <v>2</v>
      </c>
      <c r="G7" s="8">
        <v>1320.95</v>
      </c>
      <c r="H7" s="10">
        <v>1076.07</v>
      </c>
      <c r="I7" s="8">
        <v>332</v>
      </c>
      <c r="J7" s="8">
        <v>115480.15</v>
      </c>
      <c r="K7">
        <v>139.77000000000001</v>
      </c>
      <c r="L7" s="8">
        <v>761.35</v>
      </c>
      <c r="M7" s="8">
        <v>349987</v>
      </c>
      <c r="N7" s="8">
        <v>1421430.05</v>
      </c>
      <c r="O7" s="37">
        <v>105.48</v>
      </c>
    </row>
    <row r="8" spans="1:15" x14ac:dyDescent="0.25">
      <c r="A8" s="18">
        <v>6</v>
      </c>
      <c r="B8" s="8" t="s">
        <v>13</v>
      </c>
      <c r="C8" s="8">
        <v>127.42</v>
      </c>
      <c r="D8" s="8">
        <v>16177.51</v>
      </c>
      <c r="E8" s="9">
        <v>98.1</v>
      </c>
      <c r="F8">
        <v>1322</v>
      </c>
      <c r="G8" s="8">
        <v>1176.19</v>
      </c>
      <c r="H8" s="10">
        <v>6513.57</v>
      </c>
      <c r="I8" s="8">
        <v>60</v>
      </c>
      <c r="J8" s="8">
        <v>1</v>
      </c>
      <c r="K8">
        <v>123.08</v>
      </c>
      <c r="L8" s="8">
        <v>4032.51</v>
      </c>
      <c r="M8" s="8">
        <v>2605094</v>
      </c>
      <c r="N8" s="8">
        <v>7661198.9199999999</v>
      </c>
      <c r="O8" s="37">
        <v>95.73</v>
      </c>
    </row>
    <row r="9" spans="1:15" x14ac:dyDescent="0.25">
      <c r="A9" s="18">
        <v>7</v>
      </c>
      <c r="B9" s="8" t="s">
        <v>14</v>
      </c>
      <c r="C9" s="8">
        <v>38.369999999999997</v>
      </c>
      <c r="D9" s="8">
        <v>9786.82</v>
      </c>
      <c r="E9" s="9">
        <v>95.83</v>
      </c>
      <c r="F9">
        <v>576</v>
      </c>
      <c r="G9" s="8">
        <v>1247.6300000000001</v>
      </c>
      <c r="H9" s="10">
        <v>2522.44</v>
      </c>
      <c r="I9" s="8">
        <v>34</v>
      </c>
      <c r="J9" s="8">
        <v>472.74</v>
      </c>
      <c r="K9">
        <v>33.229999999999997</v>
      </c>
      <c r="L9" s="8">
        <v>1889.14</v>
      </c>
      <c r="M9" s="8">
        <v>1208612</v>
      </c>
      <c r="N9" s="8">
        <v>3147082.18</v>
      </c>
      <c r="O9" s="37">
        <v>19.78</v>
      </c>
    </row>
    <row r="10" spans="1:15" x14ac:dyDescent="0.25">
      <c r="A10" s="18">
        <v>8</v>
      </c>
      <c r="B10" s="8" t="s">
        <v>15</v>
      </c>
      <c r="C10" s="8">
        <v>65.08</v>
      </c>
      <c r="D10" s="8">
        <v>4881.8999999999996</v>
      </c>
      <c r="E10" s="9">
        <v>99.06</v>
      </c>
      <c r="F10">
        <v>216</v>
      </c>
      <c r="G10" s="8">
        <v>1124.48</v>
      </c>
      <c r="H10" s="10">
        <v>1230.1099999999999</v>
      </c>
      <c r="I10" s="8">
        <v>47</v>
      </c>
      <c r="J10" s="8">
        <v>9051.67</v>
      </c>
      <c r="K10">
        <v>56.91</v>
      </c>
      <c r="L10" s="8">
        <v>853.99</v>
      </c>
      <c r="M10" s="8">
        <v>684557</v>
      </c>
      <c r="N10" s="8">
        <v>1383238.52</v>
      </c>
      <c r="O10" s="37">
        <v>39.880000000000003</v>
      </c>
    </row>
    <row r="11" spans="1:15" x14ac:dyDescent="0.25">
      <c r="A11" s="18">
        <v>9</v>
      </c>
      <c r="B11" s="1" t="s">
        <v>16</v>
      </c>
      <c r="C11" s="12">
        <v>370.75</v>
      </c>
      <c r="D11" s="8">
        <v>6173.74</v>
      </c>
      <c r="E11" s="9">
        <v>99.99</v>
      </c>
      <c r="F11">
        <v>1366</v>
      </c>
      <c r="G11" s="8">
        <v>1277.26</v>
      </c>
      <c r="H11" s="10">
        <v>1593.5</v>
      </c>
      <c r="I11" s="8">
        <v>113</v>
      </c>
      <c r="J11" s="8">
        <v>842806.1100000001</v>
      </c>
      <c r="K11">
        <v>351.48</v>
      </c>
      <c r="L11" s="8">
        <v>1213.18</v>
      </c>
      <c r="M11" s="8">
        <v>579717</v>
      </c>
      <c r="N11" s="8">
        <v>2035309.28</v>
      </c>
      <c r="O11" s="37">
        <v>325.29000000000002</v>
      </c>
    </row>
    <row r="12" spans="1:15" x14ac:dyDescent="0.25">
      <c r="A12" s="18">
        <v>10</v>
      </c>
      <c r="B12" s="7" t="s">
        <v>17</v>
      </c>
      <c r="C12" s="7">
        <v>53.28</v>
      </c>
      <c r="D12" s="8">
        <v>15019</v>
      </c>
      <c r="E12" s="9">
        <v>99.79</v>
      </c>
      <c r="F12">
        <v>1435</v>
      </c>
      <c r="G12" s="8">
        <v>1080.4100000000001</v>
      </c>
      <c r="H12" s="10">
        <v>5991.85</v>
      </c>
      <c r="I12" s="8">
        <v>46</v>
      </c>
      <c r="J12" s="8">
        <v>792.09</v>
      </c>
      <c r="K12">
        <v>50.1</v>
      </c>
      <c r="L12" s="8">
        <v>3913.34</v>
      </c>
      <c r="M12" s="8">
        <v>2740560</v>
      </c>
      <c r="N12" s="8">
        <v>6473682.54</v>
      </c>
      <c r="O12" s="37">
        <v>24.87</v>
      </c>
    </row>
    <row r="13" spans="1:15" x14ac:dyDescent="0.25">
      <c r="A13" s="18">
        <v>11</v>
      </c>
      <c r="B13" s="1" t="s">
        <v>18</v>
      </c>
      <c r="C13" s="1">
        <v>106.51</v>
      </c>
      <c r="D13" s="8">
        <v>16051.12</v>
      </c>
      <c r="E13" s="9">
        <v>94.3</v>
      </c>
      <c r="F13">
        <v>3258</v>
      </c>
      <c r="G13" s="8">
        <v>1170.98</v>
      </c>
      <c r="H13" s="10">
        <v>3559.87</v>
      </c>
      <c r="I13" s="8">
        <v>202</v>
      </c>
      <c r="J13" s="8">
        <v>55927.33</v>
      </c>
      <c r="K13">
        <v>91.45</v>
      </c>
      <c r="L13" s="8">
        <v>2493.2800000000002</v>
      </c>
      <c r="M13" s="8">
        <v>1617468</v>
      </c>
      <c r="N13" s="8">
        <v>4168553.3</v>
      </c>
      <c r="O13" s="37">
        <v>51.87</v>
      </c>
    </row>
    <row r="14" spans="1:15" x14ac:dyDescent="0.25">
      <c r="A14" s="18">
        <v>12</v>
      </c>
      <c r="B14" s="8" t="s">
        <v>19</v>
      </c>
      <c r="C14" s="8">
        <v>16.38</v>
      </c>
      <c r="D14" s="8">
        <v>9909.82</v>
      </c>
      <c r="E14" s="9">
        <v>99.22</v>
      </c>
      <c r="F14">
        <v>1214</v>
      </c>
      <c r="G14" s="8">
        <v>1141.93</v>
      </c>
      <c r="H14" s="10">
        <v>3972.16</v>
      </c>
      <c r="I14" s="8">
        <v>91</v>
      </c>
      <c r="J14" s="8">
        <v>3629.6099999999997</v>
      </c>
      <c r="K14">
        <v>11.82</v>
      </c>
      <c r="L14" s="8">
        <v>2415.88</v>
      </c>
      <c r="M14" s="8">
        <v>1537723</v>
      </c>
      <c r="N14" s="8">
        <v>4535925.34</v>
      </c>
      <c r="O14" s="37">
        <v>3.9</v>
      </c>
    </row>
    <row r="15" spans="1:15" x14ac:dyDescent="0.25">
      <c r="A15" s="18">
        <v>13</v>
      </c>
      <c r="B15" s="8" t="s">
        <v>20</v>
      </c>
      <c r="C15" s="8">
        <v>58.17</v>
      </c>
      <c r="D15" s="8">
        <v>9715.9</v>
      </c>
      <c r="E15" s="9">
        <v>94.58</v>
      </c>
      <c r="F15">
        <v>1099</v>
      </c>
      <c r="G15" s="8">
        <v>1212.96</v>
      </c>
      <c r="H15" s="10">
        <v>1978.76</v>
      </c>
      <c r="I15" s="8">
        <v>272</v>
      </c>
      <c r="J15" s="8">
        <v>10496.08</v>
      </c>
      <c r="K15">
        <v>41.71</v>
      </c>
      <c r="L15" s="8">
        <v>1341.08</v>
      </c>
      <c r="M15" s="8">
        <v>876780</v>
      </c>
      <c r="N15" s="8">
        <v>2400165.2999999998</v>
      </c>
      <c r="O15" s="37">
        <v>13.85</v>
      </c>
    </row>
    <row r="16" spans="1:15" x14ac:dyDescent="0.25">
      <c r="A16" s="18">
        <v>14</v>
      </c>
      <c r="B16" s="8" t="s">
        <v>21</v>
      </c>
      <c r="C16" s="8">
        <v>131.75</v>
      </c>
      <c r="D16" s="8">
        <v>12187.87</v>
      </c>
      <c r="E16" s="9">
        <v>95.66</v>
      </c>
      <c r="F16">
        <v>3408</v>
      </c>
      <c r="G16" s="8">
        <v>1265.5</v>
      </c>
      <c r="H16" s="10">
        <v>6214.99</v>
      </c>
      <c r="I16" s="8">
        <v>217</v>
      </c>
      <c r="J16" s="8">
        <v>16976.23</v>
      </c>
      <c r="K16">
        <v>69.03</v>
      </c>
      <c r="L16" s="8">
        <v>3652.09</v>
      </c>
      <c r="M16" s="8">
        <v>1588600</v>
      </c>
      <c r="N16" s="8">
        <v>7865074.3600000003</v>
      </c>
      <c r="O16" s="37">
        <v>54.15</v>
      </c>
    </row>
    <row r="17" spans="1:15" x14ac:dyDescent="0.25">
      <c r="A17" s="18">
        <v>15</v>
      </c>
      <c r="B17" s="8" t="s">
        <v>22</v>
      </c>
      <c r="C17" s="8">
        <v>75.510000000000005</v>
      </c>
      <c r="D17" s="8">
        <v>5965.29</v>
      </c>
      <c r="E17" s="9">
        <v>99.39</v>
      </c>
      <c r="F17">
        <v>150</v>
      </c>
      <c r="G17" s="8">
        <v>1158.6500000000001</v>
      </c>
      <c r="H17" s="10">
        <v>2164.19</v>
      </c>
      <c r="I17" s="8">
        <v>205</v>
      </c>
      <c r="J17" s="8">
        <v>32479.22</v>
      </c>
      <c r="K17">
        <v>69.09</v>
      </c>
      <c r="L17" s="8">
        <v>1466.13</v>
      </c>
      <c r="M17" s="8">
        <v>843912</v>
      </c>
      <c r="N17" s="8">
        <v>2507542.2200000002</v>
      </c>
      <c r="O17" s="37">
        <v>31.79</v>
      </c>
    </row>
    <row r="18" spans="1:15" x14ac:dyDescent="0.25">
      <c r="A18" s="18">
        <v>16</v>
      </c>
      <c r="B18" s="8" t="s">
        <v>23</v>
      </c>
      <c r="C18" s="8">
        <v>251.71</v>
      </c>
      <c r="D18" s="8">
        <v>8612.59</v>
      </c>
      <c r="E18" s="9">
        <v>98.94</v>
      </c>
      <c r="F18">
        <v>77</v>
      </c>
      <c r="G18" s="8">
        <v>1159.04</v>
      </c>
      <c r="H18" s="10">
        <v>1804.62</v>
      </c>
      <c r="I18" s="8">
        <v>344</v>
      </c>
      <c r="J18" s="8">
        <v>151147.06</v>
      </c>
      <c r="K18">
        <v>231.08</v>
      </c>
      <c r="L18" s="8">
        <v>1341.2</v>
      </c>
      <c r="M18" s="8">
        <v>1003976</v>
      </c>
      <c r="N18" s="8">
        <v>2091629.72</v>
      </c>
      <c r="O18" s="37">
        <v>160.65</v>
      </c>
    </row>
    <row r="19" spans="1:15" x14ac:dyDescent="0.25">
      <c r="A19" s="18">
        <v>17</v>
      </c>
      <c r="B19" s="8" t="s">
        <v>24</v>
      </c>
      <c r="C19" s="8">
        <v>21.18</v>
      </c>
      <c r="D19" s="8">
        <v>2582.33</v>
      </c>
      <c r="E19" s="9">
        <v>99.55</v>
      </c>
      <c r="F19">
        <v>30</v>
      </c>
      <c r="G19" s="8">
        <v>1102.01</v>
      </c>
      <c r="H19" s="10">
        <v>770.93</v>
      </c>
      <c r="I19" s="8">
        <v>12</v>
      </c>
      <c r="J19" s="8">
        <v>1</v>
      </c>
      <c r="K19">
        <v>20.85</v>
      </c>
      <c r="L19" s="8">
        <v>521.04999999999995</v>
      </c>
      <c r="M19" s="8">
        <v>367419</v>
      </c>
      <c r="N19" s="8">
        <v>849574.91</v>
      </c>
      <c r="O19" s="37">
        <v>16.63</v>
      </c>
    </row>
    <row r="20" spans="1:15" x14ac:dyDescent="0.25">
      <c r="A20" s="18">
        <v>18</v>
      </c>
      <c r="B20" s="8" t="s">
        <v>25</v>
      </c>
      <c r="C20" s="8">
        <v>116</v>
      </c>
      <c r="D20" s="8">
        <v>17332.82</v>
      </c>
      <c r="E20" s="9">
        <v>97.03</v>
      </c>
      <c r="F20">
        <v>3902</v>
      </c>
      <c r="G20" s="8">
        <v>1143</v>
      </c>
      <c r="H20" s="10">
        <v>8732.5499999999993</v>
      </c>
      <c r="I20" s="8">
        <v>99</v>
      </c>
      <c r="J20" s="8">
        <v>27822.1</v>
      </c>
      <c r="K20">
        <v>114.18</v>
      </c>
      <c r="L20" s="8">
        <v>5256.51</v>
      </c>
      <c r="M20" s="8">
        <v>2883027</v>
      </c>
      <c r="N20" s="8">
        <v>9981275.8000000007</v>
      </c>
      <c r="O20" s="37">
        <v>106.03</v>
      </c>
    </row>
    <row r="21" spans="1:15" x14ac:dyDescent="0.25">
      <c r="A21" s="18">
        <v>19</v>
      </c>
      <c r="B21" s="8" t="s">
        <v>26</v>
      </c>
      <c r="C21" s="8">
        <v>36.89</v>
      </c>
      <c r="D21" s="8">
        <v>7392</v>
      </c>
      <c r="E21" s="9">
        <v>93.2</v>
      </c>
      <c r="F21">
        <v>1380</v>
      </c>
      <c r="G21" s="8">
        <v>1196.32</v>
      </c>
      <c r="H21" s="10">
        <v>1614.48</v>
      </c>
      <c r="I21" s="8">
        <v>93</v>
      </c>
      <c r="J21" s="8">
        <v>18156.11</v>
      </c>
      <c r="K21">
        <v>31.37</v>
      </c>
      <c r="L21" s="8">
        <v>1532.71</v>
      </c>
      <c r="M21" s="8">
        <v>838456</v>
      </c>
      <c r="N21" s="8">
        <v>1931432.17</v>
      </c>
      <c r="O21" s="37">
        <v>22.02</v>
      </c>
    </row>
    <row r="22" spans="1:15" x14ac:dyDescent="0.25">
      <c r="A22" s="18">
        <v>20</v>
      </c>
      <c r="B22" s="8" t="s">
        <v>27</v>
      </c>
      <c r="C22" s="8">
        <v>1.77</v>
      </c>
      <c r="D22" s="8">
        <v>3988.42</v>
      </c>
      <c r="E22" s="9">
        <v>90.66</v>
      </c>
      <c r="F22">
        <v>196</v>
      </c>
      <c r="G22" s="8">
        <v>1194.3</v>
      </c>
      <c r="H22" s="10">
        <v>570.49</v>
      </c>
      <c r="I22" s="8">
        <v>4</v>
      </c>
      <c r="J22" s="8">
        <v>9665.98</v>
      </c>
      <c r="K22">
        <v>1.5</v>
      </c>
      <c r="L22" s="8">
        <v>527.02</v>
      </c>
      <c r="M22" s="8">
        <v>378035</v>
      </c>
      <c r="N22" s="8">
        <v>681334.98</v>
      </c>
      <c r="O22" s="37">
        <v>1</v>
      </c>
    </row>
    <row r="23" spans="1:15" x14ac:dyDescent="0.25">
      <c r="A23" s="18">
        <v>21</v>
      </c>
      <c r="B23" s="8" t="s">
        <v>28</v>
      </c>
      <c r="C23" s="8">
        <v>419.53</v>
      </c>
      <c r="D23" s="8">
        <v>4799.47</v>
      </c>
      <c r="E23" s="9">
        <v>97.49</v>
      </c>
      <c r="F23">
        <v>562</v>
      </c>
      <c r="G23" s="8">
        <v>1270.5999999999999</v>
      </c>
      <c r="H23" s="10">
        <v>670.1</v>
      </c>
      <c r="I23" s="8">
        <v>371</v>
      </c>
      <c r="J23" s="8">
        <v>1</v>
      </c>
      <c r="K23">
        <v>366.05</v>
      </c>
      <c r="L23" s="8">
        <v>534.11</v>
      </c>
      <c r="M23" s="8">
        <v>344880</v>
      </c>
      <c r="N23" s="8">
        <v>851428.58</v>
      </c>
      <c r="O23" s="37">
        <v>228.5</v>
      </c>
    </row>
    <row r="24" spans="1:15" x14ac:dyDescent="0.25">
      <c r="A24" s="18">
        <v>22</v>
      </c>
      <c r="B24" s="8" t="s">
        <v>29</v>
      </c>
      <c r="C24" s="8">
        <v>180.94</v>
      </c>
      <c r="D24" s="8">
        <v>3849.17</v>
      </c>
      <c r="E24" s="9">
        <v>88.92</v>
      </c>
      <c r="F24">
        <v>195</v>
      </c>
      <c r="G24" s="8">
        <v>1052.1500000000001</v>
      </c>
      <c r="H24" s="10">
        <v>1356.62</v>
      </c>
      <c r="I24" s="8">
        <v>457</v>
      </c>
      <c r="J24" s="8">
        <v>407550.17000000004</v>
      </c>
      <c r="K24">
        <v>152.83000000000001</v>
      </c>
      <c r="L24" s="8">
        <v>743.76</v>
      </c>
      <c r="M24" s="8">
        <v>496058</v>
      </c>
      <c r="N24" s="8">
        <v>1427372.23</v>
      </c>
      <c r="O24" s="37">
        <v>86.76</v>
      </c>
    </row>
    <row r="25" spans="1:15" x14ac:dyDescent="0.25">
      <c r="A25" s="18">
        <v>23</v>
      </c>
      <c r="B25" s="8" t="s">
        <v>30</v>
      </c>
      <c r="C25" s="8">
        <v>203.13</v>
      </c>
      <c r="D25" s="8">
        <v>5419.76</v>
      </c>
      <c r="E25" s="9">
        <v>90.16</v>
      </c>
      <c r="F25">
        <v>11</v>
      </c>
      <c r="G25" s="8">
        <v>1342</v>
      </c>
      <c r="H25" s="10">
        <v>1435.89</v>
      </c>
      <c r="I25" s="8">
        <v>464</v>
      </c>
      <c r="J25" s="8">
        <v>113907.62</v>
      </c>
      <c r="K25">
        <v>414.55</v>
      </c>
      <c r="L25" s="8">
        <v>1174.03</v>
      </c>
      <c r="M25" s="8">
        <v>582922</v>
      </c>
      <c r="N25" s="8">
        <v>1926959.37</v>
      </c>
      <c r="O25" s="37">
        <v>122.14</v>
      </c>
    </row>
    <row r="26" spans="1:15" x14ac:dyDescent="0.25">
      <c r="A26" s="18">
        <v>24</v>
      </c>
      <c r="B26" s="8" t="s">
        <v>31</v>
      </c>
      <c r="C26" s="8">
        <v>480.15</v>
      </c>
      <c r="D26" s="8">
        <v>3064.73</v>
      </c>
      <c r="E26" s="9">
        <v>89.65</v>
      </c>
      <c r="F26">
        <v>6</v>
      </c>
      <c r="G26" s="8">
        <v>1329.45</v>
      </c>
      <c r="H26" s="10">
        <v>720.64</v>
      </c>
      <c r="I26" s="8">
        <v>397</v>
      </c>
      <c r="J26" s="8">
        <v>161432.03</v>
      </c>
      <c r="K26">
        <v>892.93</v>
      </c>
      <c r="L26" s="8">
        <v>602.29999999999995</v>
      </c>
      <c r="M26" s="8">
        <v>302167</v>
      </c>
      <c r="N26" s="8">
        <v>958057.95</v>
      </c>
      <c r="O26" s="37">
        <v>350.87</v>
      </c>
    </row>
    <row r="27" spans="1:15" x14ac:dyDescent="0.25">
      <c r="A27" s="18">
        <v>25</v>
      </c>
      <c r="B27" s="8" t="s">
        <v>32</v>
      </c>
      <c r="C27" s="8">
        <v>6.8</v>
      </c>
      <c r="D27" s="8">
        <v>8947.6299999999992</v>
      </c>
      <c r="E27" s="9">
        <v>100</v>
      </c>
      <c r="F27">
        <v>154</v>
      </c>
      <c r="G27" s="8">
        <v>1341.67</v>
      </c>
      <c r="H27" s="10">
        <v>7301.36</v>
      </c>
      <c r="I27" s="8">
        <v>8</v>
      </c>
      <c r="J27" s="8">
        <v>428770.73</v>
      </c>
      <c r="K27">
        <v>1.5</v>
      </c>
      <c r="L27" s="8">
        <v>4965.1000000000004</v>
      </c>
      <c r="M27" s="8">
        <v>1796683</v>
      </c>
      <c r="N27" s="8">
        <v>9796048.9700000007</v>
      </c>
      <c r="O27" s="37">
        <v>5.53</v>
      </c>
    </row>
    <row r="28" spans="1:15" x14ac:dyDescent="0.25">
      <c r="A28" s="18">
        <v>26</v>
      </c>
      <c r="B28" s="8" t="s">
        <v>33</v>
      </c>
      <c r="C28" s="8">
        <v>751.98</v>
      </c>
      <c r="D28" s="8">
        <v>7269</v>
      </c>
      <c r="E28" s="9">
        <v>99.77</v>
      </c>
      <c r="F28">
        <v>944</v>
      </c>
      <c r="G28" s="8">
        <v>1011.67</v>
      </c>
      <c r="H28" s="10">
        <v>2853.13</v>
      </c>
      <c r="I28" s="8">
        <v>179</v>
      </c>
      <c r="J28" s="8">
        <v>1</v>
      </c>
      <c r="K28">
        <v>414.55</v>
      </c>
      <c r="L28" s="8">
        <v>2306.98</v>
      </c>
      <c r="M28" s="8">
        <v>2005554</v>
      </c>
      <c r="N28" s="8">
        <v>2886440.2</v>
      </c>
      <c r="O28" s="37">
        <v>617.53</v>
      </c>
    </row>
    <row r="29" spans="1:15" x14ac:dyDescent="0.25">
      <c r="A29" s="18">
        <v>27</v>
      </c>
      <c r="B29" s="8" t="s">
        <v>34</v>
      </c>
      <c r="C29" s="8">
        <v>627.85</v>
      </c>
      <c r="D29" s="8">
        <v>13694.02</v>
      </c>
      <c r="E29" s="9">
        <v>89.01</v>
      </c>
      <c r="F29">
        <v>544</v>
      </c>
      <c r="G29" s="8">
        <v>1231.47</v>
      </c>
      <c r="H29" s="10">
        <v>1454.14</v>
      </c>
      <c r="I29" s="8">
        <v>507</v>
      </c>
      <c r="J29" s="8">
        <v>1171211.96</v>
      </c>
      <c r="K29">
        <v>231.08</v>
      </c>
      <c r="L29" s="8">
        <v>1715.95</v>
      </c>
      <c r="M29" s="8">
        <v>1285297</v>
      </c>
      <c r="N29" s="8">
        <v>1790734.9</v>
      </c>
      <c r="O29" s="37">
        <v>367.81</v>
      </c>
    </row>
    <row r="30" spans="1:15" x14ac:dyDescent="0.25">
      <c r="A30" s="18">
        <v>28</v>
      </c>
      <c r="B30" s="8" t="s">
        <v>35</v>
      </c>
      <c r="C30" s="8">
        <v>81</v>
      </c>
      <c r="D30" s="8">
        <v>42639.23</v>
      </c>
      <c r="E30" s="9">
        <v>99.56</v>
      </c>
      <c r="F30">
        <v>125</v>
      </c>
      <c r="G30" s="8">
        <v>1096.1099999999999</v>
      </c>
      <c r="H30" s="10">
        <v>44311.839999999997</v>
      </c>
      <c r="I30" s="8">
        <v>119</v>
      </c>
      <c r="J30" s="8">
        <v>802072.54999999993</v>
      </c>
      <c r="K30" s="8">
        <v>72.36</v>
      </c>
      <c r="L30" s="8">
        <v>26406.59</v>
      </c>
      <c r="M30" s="8">
        <v>14202136</v>
      </c>
      <c r="N30" s="8">
        <v>48570576.240000002</v>
      </c>
      <c r="O30" s="37">
        <v>70.72</v>
      </c>
    </row>
    <row r="31" spans="1:15" x14ac:dyDescent="0.25">
      <c r="A31" s="18">
        <v>29</v>
      </c>
      <c r="B31" s="8" t="s">
        <v>36</v>
      </c>
      <c r="C31" s="8">
        <v>44.24</v>
      </c>
      <c r="D31" s="8">
        <v>49787.31</v>
      </c>
      <c r="E31" s="9">
        <v>99.99</v>
      </c>
      <c r="F31">
        <v>197</v>
      </c>
      <c r="G31" s="8">
        <v>1055.51</v>
      </c>
      <c r="H31" s="10">
        <v>30391.43</v>
      </c>
      <c r="I31" s="8">
        <v>36</v>
      </c>
      <c r="J31" s="8">
        <v>26076.17</v>
      </c>
      <c r="K31" s="8">
        <v>39.07</v>
      </c>
      <c r="L31" s="8">
        <v>18233.88</v>
      </c>
      <c r="M31" s="8">
        <v>12227038</v>
      </c>
      <c r="N31" s="8">
        <v>32078351.530000001</v>
      </c>
      <c r="O31" s="37">
        <v>33.700000000000003</v>
      </c>
    </row>
    <row r="32" spans="1:15" x14ac:dyDescent="0.25">
      <c r="A32" s="18">
        <v>30</v>
      </c>
      <c r="B32" s="8" t="s">
        <v>37</v>
      </c>
      <c r="C32" s="8">
        <v>1.78</v>
      </c>
      <c r="D32" s="8">
        <v>5933.33</v>
      </c>
      <c r="E32" s="9">
        <v>99.67</v>
      </c>
      <c r="F32">
        <v>25</v>
      </c>
      <c r="G32" s="8">
        <v>1176.3</v>
      </c>
      <c r="H32" s="10">
        <v>3891.18</v>
      </c>
      <c r="I32" s="8">
        <v>2</v>
      </c>
      <c r="J32" s="8">
        <v>213.23</v>
      </c>
      <c r="K32" s="8">
        <v>0.67</v>
      </c>
      <c r="L32" s="8">
        <v>2622.11</v>
      </c>
      <c r="M32" s="8">
        <v>1544194</v>
      </c>
      <c r="N32" s="8">
        <v>4577192.09</v>
      </c>
      <c r="O32" s="37">
        <v>1.44</v>
      </c>
    </row>
    <row r="33" spans="1:15" x14ac:dyDescent="0.25">
      <c r="A33" s="18">
        <v>31</v>
      </c>
      <c r="B33" s="8" t="s">
        <v>38</v>
      </c>
      <c r="C33" s="13">
        <v>149.79</v>
      </c>
      <c r="D33" s="8">
        <v>51452.15</v>
      </c>
      <c r="E33" s="9">
        <v>99.99</v>
      </c>
      <c r="F33">
        <v>120</v>
      </c>
      <c r="G33" s="8">
        <v>1119.01</v>
      </c>
      <c r="H33" s="10">
        <v>61637.47</v>
      </c>
      <c r="I33" s="8">
        <v>28</v>
      </c>
      <c r="J33" s="8">
        <v>1</v>
      </c>
      <c r="K33" s="8">
        <v>149.79</v>
      </c>
      <c r="L33" s="8">
        <v>33690.120000000003</v>
      </c>
      <c r="M33" s="8">
        <v>17563127</v>
      </c>
      <c r="N33" s="8">
        <v>68973100.430000007</v>
      </c>
      <c r="O33" s="37">
        <v>112.9</v>
      </c>
    </row>
    <row r="34" spans="1:15" x14ac:dyDescent="0.25">
      <c r="A34" s="18">
        <v>32</v>
      </c>
      <c r="B34" s="8" t="s">
        <v>39</v>
      </c>
      <c r="C34" s="14">
        <v>16.62</v>
      </c>
      <c r="D34" s="8">
        <v>17078.009999999998</v>
      </c>
      <c r="E34" s="9">
        <v>99.97</v>
      </c>
      <c r="F34">
        <v>1054</v>
      </c>
      <c r="G34" s="8">
        <v>1131.31</v>
      </c>
      <c r="H34" s="10">
        <v>28396.46</v>
      </c>
      <c r="I34" s="8">
        <v>10</v>
      </c>
      <c r="J34" s="8">
        <v>1</v>
      </c>
      <c r="K34" s="8">
        <v>16.62</v>
      </c>
      <c r="L34" s="8">
        <v>14122.45</v>
      </c>
      <c r="M34" s="8">
        <v>4165436</v>
      </c>
      <c r="N34" s="8">
        <v>32125273</v>
      </c>
      <c r="O34" s="37">
        <v>15.36</v>
      </c>
    </row>
    <row r="35" spans="1:15" x14ac:dyDescent="0.25">
      <c r="A35" s="19">
        <v>33</v>
      </c>
      <c r="B35" s="15" t="s">
        <v>40</v>
      </c>
      <c r="C35" s="16">
        <v>1.4</v>
      </c>
      <c r="D35" s="15">
        <v>18040.63</v>
      </c>
      <c r="E35" s="17">
        <v>100</v>
      </c>
      <c r="F35">
        <v>1113</v>
      </c>
      <c r="G35" s="15">
        <v>1324.57</v>
      </c>
      <c r="H35" s="2">
        <v>38198.379999999997</v>
      </c>
      <c r="I35" s="15">
        <v>1</v>
      </c>
      <c r="J35" s="15">
        <v>329.23</v>
      </c>
      <c r="K35" s="15">
        <v>0.35</v>
      </c>
      <c r="L35" s="15">
        <v>22419.13</v>
      </c>
      <c r="M35" s="15">
        <v>5403929</v>
      </c>
      <c r="N35" s="15">
        <v>50596411.07</v>
      </c>
      <c r="O35" s="39">
        <v>1.1100000000000001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5CD7-6F9F-4A74-BD19-59A9CEB0CE88}">
  <dimension ref="A1:E53"/>
  <sheetViews>
    <sheetView workbookViewId="0">
      <selection activeCell="B5" sqref="B5"/>
    </sheetView>
  </sheetViews>
  <sheetFormatPr defaultRowHeight="15" x14ac:dyDescent="0.25"/>
  <cols>
    <col min="1" max="1" width="16.7109375" customWidth="1"/>
    <col min="2" max="2" width="22.140625" customWidth="1"/>
    <col min="3" max="3" width="20.85546875" customWidth="1"/>
    <col min="4" max="4" width="28.28515625" customWidth="1"/>
    <col min="5" max="5" width="30.42578125" customWidth="1"/>
  </cols>
  <sheetData>
    <row r="1" spans="1:5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</row>
    <row r="2" spans="1:5" x14ac:dyDescent="0.25">
      <c r="A2" t="s">
        <v>131</v>
      </c>
      <c r="B2" s="40">
        <v>206</v>
      </c>
      <c r="C2" s="40">
        <v>179.49</v>
      </c>
      <c r="D2" s="40">
        <v>270.86</v>
      </c>
      <c r="E2" s="40">
        <v>144.01</v>
      </c>
    </row>
    <row r="3" spans="1:5" x14ac:dyDescent="0.25">
      <c r="A3" t="s">
        <v>132</v>
      </c>
      <c r="B3" s="40">
        <v>56</v>
      </c>
      <c r="C3" s="40">
        <v>210.06</v>
      </c>
      <c r="D3" s="40">
        <v>1280.6500000000001</v>
      </c>
      <c r="E3" s="40">
        <v>209.21</v>
      </c>
    </row>
    <row r="4" spans="1:5" x14ac:dyDescent="0.25">
      <c r="A4" t="s">
        <v>133</v>
      </c>
      <c r="B4" s="40">
        <v>102</v>
      </c>
      <c r="C4" s="40">
        <v>91.63</v>
      </c>
      <c r="D4" s="40">
        <v>376.26</v>
      </c>
      <c r="E4" s="40">
        <v>86.21</v>
      </c>
    </row>
    <row r="5" spans="1:5" x14ac:dyDescent="0.25">
      <c r="A5" t="s">
        <v>56</v>
      </c>
      <c r="B5" s="40">
        <v>274</v>
      </c>
      <c r="C5" s="40">
        <v>486.37</v>
      </c>
      <c r="D5" s="40">
        <v>2890.46</v>
      </c>
      <c r="E5" s="40">
        <v>445.93</v>
      </c>
    </row>
    <row r="6" spans="1:5" x14ac:dyDescent="0.25">
      <c r="A6" t="s">
        <v>57</v>
      </c>
      <c r="B6" s="40">
        <v>332</v>
      </c>
      <c r="C6" s="40">
        <v>166.34</v>
      </c>
      <c r="D6" s="40">
        <v>396.02</v>
      </c>
      <c r="E6" s="40">
        <v>139.77000000000001</v>
      </c>
    </row>
    <row r="7" spans="1:5" x14ac:dyDescent="0.25">
      <c r="A7" t="s">
        <v>59</v>
      </c>
      <c r="B7" s="40">
        <v>60</v>
      </c>
      <c r="C7" s="40">
        <v>127.42</v>
      </c>
      <c r="D7" s="40">
        <v>571.72</v>
      </c>
      <c r="E7" s="40">
        <v>123.08</v>
      </c>
    </row>
    <row r="8" spans="1:5" x14ac:dyDescent="0.25">
      <c r="A8" t="s">
        <v>60</v>
      </c>
      <c r="B8" s="40">
        <v>34</v>
      </c>
      <c r="C8" s="40">
        <v>38.369999999999997</v>
      </c>
      <c r="D8" s="40">
        <v>117.63</v>
      </c>
      <c r="E8" s="40">
        <v>33.229999999999997</v>
      </c>
    </row>
    <row r="9" spans="1:5" x14ac:dyDescent="0.25">
      <c r="A9" t="s">
        <v>61</v>
      </c>
      <c r="B9" s="40">
        <v>47</v>
      </c>
      <c r="C9" s="40">
        <v>65.08</v>
      </c>
      <c r="D9" s="40">
        <v>244</v>
      </c>
      <c r="E9" s="40">
        <v>56.91</v>
      </c>
    </row>
    <row r="10" spans="1:5" x14ac:dyDescent="0.25">
      <c r="A10" t="s">
        <v>16</v>
      </c>
      <c r="B10" s="40">
        <v>113</v>
      </c>
      <c r="C10" s="40">
        <v>370.75</v>
      </c>
      <c r="D10" s="40">
        <v>1347.42</v>
      </c>
      <c r="E10" s="40">
        <v>351.48</v>
      </c>
    </row>
    <row r="11" spans="1:5" x14ac:dyDescent="0.25">
      <c r="A11" t="s">
        <v>17</v>
      </c>
      <c r="B11" s="40">
        <v>46</v>
      </c>
      <c r="C11" s="40">
        <v>53.28</v>
      </c>
      <c r="D11" s="40">
        <v>120.48</v>
      </c>
      <c r="E11" s="40">
        <v>50.1</v>
      </c>
    </row>
    <row r="12" spans="1:5" x14ac:dyDescent="0.25">
      <c r="A12" t="s">
        <v>134</v>
      </c>
      <c r="B12" s="40">
        <v>202</v>
      </c>
      <c r="C12" s="40">
        <v>106.51</v>
      </c>
      <c r="D12" s="40">
        <v>231.6</v>
      </c>
      <c r="E12" s="40">
        <v>91.45</v>
      </c>
    </row>
    <row r="13" spans="1:5" x14ac:dyDescent="0.25">
      <c r="A13" t="s">
        <v>63</v>
      </c>
      <c r="B13" s="40">
        <v>91</v>
      </c>
      <c r="C13" s="40">
        <v>16.38</v>
      </c>
      <c r="D13" s="40">
        <v>21.37</v>
      </c>
      <c r="E13" s="40">
        <v>11.82</v>
      </c>
    </row>
    <row r="14" spans="1:5" x14ac:dyDescent="0.25">
      <c r="A14" t="s">
        <v>64</v>
      </c>
      <c r="B14" s="40">
        <v>272</v>
      </c>
      <c r="C14" s="40">
        <v>58.17</v>
      </c>
      <c r="D14" s="40">
        <v>91.03</v>
      </c>
      <c r="E14" s="40">
        <v>41.71</v>
      </c>
    </row>
    <row r="15" spans="1:5" x14ac:dyDescent="0.25">
      <c r="A15" t="s">
        <v>135</v>
      </c>
      <c r="B15" s="40">
        <v>217</v>
      </c>
      <c r="C15" s="40">
        <v>131.75</v>
      </c>
      <c r="D15" s="40">
        <v>213.83</v>
      </c>
      <c r="E15" s="40">
        <v>69.03</v>
      </c>
    </row>
    <row r="16" spans="1:5" x14ac:dyDescent="0.25">
      <c r="A16" t="s">
        <v>67</v>
      </c>
      <c r="B16" s="40">
        <v>205</v>
      </c>
      <c r="C16" s="40">
        <v>75.510000000000005</v>
      </c>
      <c r="D16" s="40">
        <v>143.94999999999999</v>
      </c>
      <c r="E16" s="40">
        <v>69.09</v>
      </c>
    </row>
    <row r="17" spans="1:5" x14ac:dyDescent="0.25">
      <c r="A17" t="s">
        <v>68</v>
      </c>
      <c r="B17" s="40">
        <v>344</v>
      </c>
      <c r="C17" s="40">
        <v>251.71</v>
      </c>
      <c r="D17" s="40">
        <v>874.11</v>
      </c>
      <c r="E17" s="40">
        <v>231.08</v>
      </c>
    </row>
    <row r="18" spans="1:5" x14ac:dyDescent="0.25">
      <c r="A18" t="s">
        <v>69</v>
      </c>
      <c r="B18" s="40">
        <v>12</v>
      </c>
      <c r="C18" s="40">
        <v>21.18</v>
      </c>
      <c r="D18" s="40">
        <v>41.77</v>
      </c>
      <c r="E18" s="40">
        <v>20.85</v>
      </c>
    </row>
    <row r="19" spans="1:5" x14ac:dyDescent="0.25">
      <c r="A19" t="s">
        <v>71</v>
      </c>
      <c r="B19" s="40">
        <v>99</v>
      </c>
      <c r="C19" s="40">
        <v>116</v>
      </c>
      <c r="D19" s="40">
        <v>426.23</v>
      </c>
      <c r="E19" s="40">
        <v>114.18</v>
      </c>
    </row>
    <row r="20" spans="1:5" x14ac:dyDescent="0.25">
      <c r="A20" t="s">
        <v>72</v>
      </c>
      <c r="B20" s="40">
        <v>93</v>
      </c>
      <c r="C20" s="40">
        <v>36.89</v>
      </c>
      <c r="D20" s="40">
        <v>116.02</v>
      </c>
      <c r="E20" s="40">
        <v>31.37</v>
      </c>
    </row>
    <row r="21" spans="1:5" x14ac:dyDescent="0.25">
      <c r="A21" t="s">
        <v>73</v>
      </c>
      <c r="B21" s="40">
        <v>4</v>
      </c>
      <c r="C21" s="40">
        <v>1.77</v>
      </c>
      <c r="D21" s="40">
        <v>1</v>
      </c>
      <c r="E21" s="40">
        <v>1.5</v>
      </c>
    </row>
    <row r="22" spans="1:5" x14ac:dyDescent="0.25">
      <c r="A22" t="s">
        <v>75</v>
      </c>
      <c r="B22" s="40">
        <v>371</v>
      </c>
      <c r="C22" s="40">
        <v>419.53</v>
      </c>
      <c r="D22" s="40">
        <v>1224.46</v>
      </c>
      <c r="E22" s="40">
        <v>366.05</v>
      </c>
    </row>
    <row r="23" spans="1:5" x14ac:dyDescent="0.25">
      <c r="A23" t="s">
        <v>76</v>
      </c>
      <c r="B23" s="40">
        <v>457</v>
      </c>
      <c r="C23" s="40">
        <v>180.94</v>
      </c>
      <c r="D23" s="40">
        <v>432.54</v>
      </c>
      <c r="E23" s="40">
        <v>152.83000000000001</v>
      </c>
    </row>
    <row r="24" spans="1:5" x14ac:dyDescent="0.25">
      <c r="A24" t="s">
        <v>78</v>
      </c>
      <c r="B24" s="40">
        <v>464</v>
      </c>
      <c r="C24" s="40">
        <v>203.13</v>
      </c>
      <c r="D24" s="40">
        <v>613.52</v>
      </c>
      <c r="E24" s="40">
        <v>177.12</v>
      </c>
    </row>
    <row r="25" spans="1:5" x14ac:dyDescent="0.25">
      <c r="A25" t="s">
        <v>79</v>
      </c>
      <c r="B25" s="40">
        <v>397</v>
      </c>
      <c r="C25" s="40">
        <v>480.15</v>
      </c>
      <c r="D25" s="40">
        <v>1805.8</v>
      </c>
      <c r="E25" s="40">
        <v>429.25</v>
      </c>
    </row>
    <row r="26" spans="1:5" x14ac:dyDescent="0.25">
      <c r="A26" t="s">
        <v>32</v>
      </c>
      <c r="B26" s="40">
        <v>8</v>
      </c>
      <c r="C26" s="40">
        <v>6.8</v>
      </c>
      <c r="D26" s="40">
        <v>13.29</v>
      </c>
      <c r="E26" s="40">
        <v>6.72</v>
      </c>
    </row>
    <row r="27" spans="1:5" x14ac:dyDescent="0.25">
      <c r="A27" t="s">
        <v>33</v>
      </c>
      <c r="B27" s="40">
        <v>179</v>
      </c>
      <c r="C27" s="40">
        <v>751.98</v>
      </c>
      <c r="D27" s="40">
        <v>3274.09</v>
      </c>
      <c r="E27" s="40">
        <v>680.59</v>
      </c>
    </row>
    <row r="28" spans="1:5" x14ac:dyDescent="0.25">
      <c r="A28" t="s">
        <v>34</v>
      </c>
      <c r="B28" s="40">
        <v>507</v>
      </c>
      <c r="C28" s="40">
        <v>627.85</v>
      </c>
      <c r="D28" s="40">
        <v>1691.88</v>
      </c>
      <c r="E28" s="40">
        <v>414.55</v>
      </c>
    </row>
    <row r="29" spans="1:5" x14ac:dyDescent="0.25">
      <c r="A29" t="s">
        <v>80</v>
      </c>
      <c r="B29" s="40">
        <v>50</v>
      </c>
      <c r="C29" s="40">
        <v>974.37</v>
      </c>
      <c r="D29" s="40">
        <v>4432.34</v>
      </c>
      <c r="E29" s="40">
        <v>892.93</v>
      </c>
    </row>
    <row r="30" spans="1:5" x14ac:dyDescent="0.25">
      <c r="A30" t="s">
        <v>136</v>
      </c>
      <c r="B30" s="40">
        <v>26</v>
      </c>
      <c r="C30" s="40">
        <v>4653.4399999999996</v>
      </c>
      <c r="D30" s="40">
        <v>23243.360000000001</v>
      </c>
      <c r="E30" s="40">
        <v>4469.18</v>
      </c>
    </row>
    <row r="31" spans="1:5" x14ac:dyDescent="0.25">
      <c r="A31" t="s">
        <v>137</v>
      </c>
      <c r="B31" s="40">
        <v>12</v>
      </c>
      <c r="C31" s="40">
        <v>1518</v>
      </c>
      <c r="D31" s="40">
        <v>8340.89</v>
      </c>
      <c r="E31" s="40">
        <v>1518</v>
      </c>
    </row>
    <row r="32" spans="1:5" x14ac:dyDescent="0.25">
      <c r="A32" t="s">
        <v>138</v>
      </c>
      <c r="B32" s="40">
        <v>13</v>
      </c>
      <c r="C32" s="40">
        <v>1590</v>
      </c>
      <c r="D32" s="40">
        <v>7976.16</v>
      </c>
      <c r="E32" s="40">
        <v>1590</v>
      </c>
    </row>
    <row r="33" spans="1:5" x14ac:dyDescent="0.25">
      <c r="A33" t="s">
        <v>81</v>
      </c>
      <c r="B33" s="40">
        <v>189</v>
      </c>
      <c r="C33" s="40">
        <v>968.6</v>
      </c>
      <c r="D33" s="40">
        <v>1910.35</v>
      </c>
      <c r="E33" s="40">
        <v>849.38</v>
      </c>
    </row>
    <row r="34" spans="1:5" x14ac:dyDescent="0.25">
      <c r="A34" t="s">
        <v>82</v>
      </c>
      <c r="B34" s="40">
        <v>69</v>
      </c>
      <c r="C34" s="40">
        <v>571.17999999999995</v>
      </c>
      <c r="D34" s="40">
        <v>1660.78</v>
      </c>
      <c r="E34" s="40">
        <v>542.16999999999996</v>
      </c>
    </row>
    <row r="35" spans="1:5" x14ac:dyDescent="0.25">
      <c r="A35" t="s">
        <v>83</v>
      </c>
      <c r="B35" s="40">
        <v>30</v>
      </c>
      <c r="C35" s="40">
        <v>555.22</v>
      </c>
      <c r="D35" s="40">
        <v>375.75</v>
      </c>
      <c r="E35" s="40">
        <v>523.21</v>
      </c>
    </row>
    <row r="36" spans="1:5" x14ac:dyDescent="0.25">
      <c r="A36" t="s">
        <v>139</v>
      </c>
      <c r="B36" s="40">
        <v>138</v>
      </c>
      <c r="C36" s="40">
        <v>992.47</v>
      </c>
      <c r="D36" s="40">
        <v>3680.03</v>
      </c>
      <c r="E36" s="40">
        <v>796.25</v>
      </c>
    </row>
    <row r="37" spans="1:5" x14ac:dyDescent="0.25">
      <c r="A37" t="s">
        <v>140</v>
      </c>
      <c r="B37" s="40">
        <v>26</v>
      </c>
      <c r="C37" s="40">
        <v>312.81</v>
      </c>
      <c r="D37" s="40">
        <v>1301.8699999999999</v>
      </c>
      <c r="E37" s="40">
        <v>264.47000000000003</v>
      </c>
    </row>
    <row r="38" spans="1:5" x14ac:dyDescent="0.25">
      <c r="A38" t="s">
        <v>141</v>
      </c>
      <c r="B38" s="40">
        <v>69</v>
      </c>
      <c r="C38" s="40">
        <v>2659.26</v>
      </c>
      <c r="D38" s="40">
        <v>11682.32</v>
      </c>
      <c r="E38" s="40">
        <v>2238.13</v>
      </c>
    </row>
    <row r="39" spans="1:5" x14ac:dyDescent="0.25">
      <c r="A39" t="s">
        <v>142</v>
      </c>
      <c r="B39" s="40">
        <v>184</v>
      </c>
      <c r="C39" s="40">
        <v>846.96</v>
      </c>
      <c r="D39" s="40">
        <v>3012.33</v>
      </c>
      <c r="E39" s="40">
        <v>632.4</v>
      </c>
    </row>
    <row r="40" spans="1:5" x14ac:dyDescent="0.25">
      <c r="A40" t="s">
        <v>143</v>
      </c>
      <c r="B40" s="40">
        <v>185</v>
      </c>
      <c r="C40" s="40">
        <v>1265.6300000000001</v>
      </c>
      <c r="D40" s="40">
        <v>4911.34</v>
      </c>
      <c r="E40" s="40">
        <v>995.68</v>
      </c>
    </row>
    <row r="41" spans="1:5" x14ac:dyDescent="0.25">
      <c r="A41" t="s">
        <v>144</v>
      </c>
      <c r="B41" s="40">
        <v>150</v>
      </c>
      <c r="C41" s="40">
        <v>3496.36</v>
      </c>
      <c r="D41" s="40">
        <v>13060.39</v>
      </c>
      <c r="E41" s="40">
        <v>2740.94</v>
      </c>
    </row>
    <row r="42" spans="1:5" x14ac:dyDescent="0.25">
      <c r="A42" t="s">
        <v>145</v>
      </c>
      <c r="B42" s="40">
        <v>6</v>
      </c>
      <c r="C42" s="40">
        <v>153.5</v>
      </c>
      <c r="D42" s="40">
        <v>40.950000000000003</v>
      </c>
      <c r="E42" s="40">
        <v>134.5</v>
      </c>
    </row>
    <row r="43" spans="1:5" x14ac:dyDescent="0.25">
      <c r="A43" t="s">
        <v>146</v>
      </c>
      <c r="B43" s="40">
        <v>119</v>
      </c>
      <c r="C43" s="40">
        <v>81</v>
      </c>
      <c r="D43" s="40">
        <v>72.36</v>
      </c>
      <c r="E43" s="40">
        <v>72.36</v>
      </c>
    </row>
    <row r="44" spans="1:5" x14ac:dyDescent="0.25">
      <c r="A44" t="s">
        <v>147</v>
      </c>
      <c r="B44" s="40">
        <v>36</v>
      </c>
      <c r="C44" s="40">
        <v>44.24</v>
      </c>
      <c r="D44" s="40">
        <v>39.07</v>
      </c>
      <c r="E44" s="40">
        <v>39.07</v>
      </c>
    </row>
    <row r="45" spans="1:5" x14ac:dyDescent="0.25">
      <c r="A45" t="s">
        <v>148</v>
      </c>
      <c r="B45" s="40">
        <v>2</v>
      </c>
      <c r="C45" s="40">
        <v>1.78</v>
      </c>
      <c r="D45" s="40">
        <v>1.67</v>
      </c>
      <c r="E45" s="40">
        <v>1.67</v>
      </c>
    </row>
    <row r="46" spans="1:5" x14ac:dyDescent="0.25">
      <c r="A46" t="s">
        <v>149</v>
      </c>
      <c r="B46" s="40">
        <v>28</v>
      </c>
      <c r="C46" s="40">
        <v>149.79</v>
      </c>
      <c r="D46" s="40">
        <v>571.52</v>
      </c>
      <c r="E46" s="40">
        <v>149.79</v>
      </c>
    </row>
    <row r="47" spans="1:5" x14ac:dyDescent="0.25">
      <c r="A47" t="s">
        <v>150</v>
      </c>
      <c r="B47" s="40">
        <v>10</v>
      </c>
      <c r="C47" s="40">
        <v>16.62</v>
      </c>
      <c r="D47" s="40">
        <v>69.87</v>
      </c>
      <c r="E47" s="40">
        <v>16.62</v>
      </c>
    </row>
    <row r="48" spans="1:5" x14ac:dyDescent="0.25">
      <c r="A48" t="s">
        <v>151</v>
      </c>
      <c r="B48" s="40">
        <v>1</v>
      </c>
      <c r="C48" s="40">
        <v>1.4</v>
      </c>
      <c r="D48" s="40">
        <v>1.21</v>
      </c>
      <c r="E48" s="40">
        <v>1.35</v>
      </c>
    </row>
    <row r="49" spans="1:5" x14ac:dyDescent="0.25">
      <c r="A49" t="s">
        <v>152</v>
      </c>
      <c r="B49" s="40">
        <v>183</v>
      </c>
      <c r="C49" s="40">
        <v>16900.18</v>
      </c>
      <c r="D49" s="40">
        <v>69842.42</v>
      </c>
      <c r="E49" s="40">
        <v>15386.17</v>
      </c>
    </row>
    <row r="50" spans="1:5" x14ac:dyDescent="0.25">
      <c r="A50" t="s">
        <v>153</v>
      </c>
      <c r="B50" s="40">
        <v>97</v>
      </c>
      <c r="C50" s="40">
        <v>12569.84</v>
      </c>
      <c r="D50" s="40">
        <v>46069.64</v>
      </c>
      <c r="E50" s="40">
        <v>11416.87</v>
      </c>
    </row>
    <row r="51" spans="1:5" x14ac:dyDescent="0.25">
      <c r="A51" t="s">
        <v>154</v>
      </c>
      <c r="B51" s="40">
        <v>43</v>
      </c>
      <c r="C51" s="40">
        <v>17102.349999999999</v>
      </c>
      <c r="D51" s="40">
        <v>100965.36</v>
      </c>
      <c r="E51" s="40">
        <v>17102.349999999999</v>
      </c>
    </row>
    <row r="52" spans="1:5" x14ac:dyDescent="0.25">
      <c r="A52" t="s">
        <v>155</v>
      </c>
      <c r="B52" s="40">
        <v>4</v>
      </c>
      <c r="C52" s="40">
        <v>2811.4</v>
      </c>
      <c r="D52" s="40">
        <v>19654.29</v>
      </c>
      <c r="E52" s="40">
        <v>2643.8</v>
      </c>
    </row>
    <row r="53" spans="1:5" x14ac:dyDescent="0.25">
      <c r="A53" t="s">
        <v>156</v>
      </c>
      <c r="B53" s="40">
        <v>3</v>
      </c>
      <c r="C53" s="40">
        <v>427</v>
      </c>
      <c r="D53" s="40">
        <v>957.66</v>
      </c>
      <c r="E53" s="40">
        <v>403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4592-9323-41C5-8887-F021311DE3F9}">
  <dimension ref="A1:B49"/>
  <sheetViews>
    <sheetView topLeftCell="A2" workbookViewId="0">
      <selection activeCell="B18" sqref="B17:B18"/>
    </sheetView>
  </sheetViews>
  <sheetFormatPr defaultRowHeight="15" x14ac:dyDescent="0.25"/>
  <cols>
    <col min="1" max="1" width="20" customWidth="1"/>
    <col min="2" max="2" width="21.42578125" customWidth="1"/>
    <col min="4" max="4" width="9.140625" customWidth="1"/>
  </cols>
  <sheetData>
    <row r="1" spans="1:2" x14ac:dyDescent="0.25">
      <c r="A1" t="s">
        <v>54</v>
      </c>
      <c r="B1" t="s">
        <v>94</v>
      </c>
    </row>
    <row r="2" spans="1:2" x14ac:dyDescent="0.25">
      <c r="A2" t="s">
        <v>8</v>
      </c>
      <c r="B2">
        <v>144.01</v>
      </c>
    </row>
    <row r="3" spans="1:2" x14ac:dyDescent="0.25">
      <c r="A3" t="s">
        <v>9</v>
      </c>
      <c r="B3">
        <v>209.21</v>
      </c>
    </row>
    <row r="4" spans="1:2" x14ac:dyDescent="0.25">
      <c r="A4" t="s">
        <v>10</v>
      </c>
      <c r="B4">
        <v>86.21</v>
      </c>
    </row>
    <row r="5" spans="1:2" x14ac:dyDescent="0.25">
      <c r="A5" t="s">
        <v>55</v>
      </c>
      <c r="B5">
        <v>585.69000000000005</v>
      </c>
    </row>
    <row r="6" spans="1:2" x14ac:dyDescent="0.25">
      <c r="A6" t="s">
        <v>56</v>
      </c>
      <c r="B6">
        <v>445.93</v>
      </c>
    </row>
    <row r="7" spans="1:2" x14ac:dyDescent="0.25">
      <c r="A7" t="s">
        <v>57</v>
      </c>
      <c r="B7">
        <v>139.77000000000001</v>
      </c>
    </row>
    <row r="8" spans="1:2" x14ac:dyDescent="0.25">
      <c r="A8" t="s">
        <v>58</v>
      </c>
      <c r="B8">
        <v>213.22</v>
      </c>
    </row>
    <row r="9" spans="1:2" x14ac:dyDescent="0.25">
      <c r="A9" t="s">
        <v>59</v>
      </c>
      <c r="B9">
        <v>123.08</v>
      </c>
    </row>
    <row r="10" spans="1:2" x14ac:dyDescent="0.25">
      <c r="A10" t="s">
        <v>60</v>
      </c>
      <c r="B10">
        <v>33.229999999999997</v>
      </c>
    </row>
    <row r="11" spans="1:2" x14ac:dyDescent="0.25">
      <c r="A11" t="s">
        <v>61</v>
      </c>
      <c r="B11">
        <v>56.91</v>
      </c>
    </row>
    <row r="12" spans="1:2" x14ac:dyDescent="0.25">
      <c r="A12" t="s">
        <v>16</v>
      </c>
      <c r="B12">
        <v>351.48</v>
      </c>
    </row>
    <row r="13" spans="1:2" x14ac:dyDescent="0.25">
      <c r="A13" t="s">
        <v>17</v>
      </c>
      <c r="B13">
        <v>50.1</v>
      </c>
    </row>
    <row r="14" spans="1:2" x14ac:dyDescent="0.25">
      <c r="A14" t="s">
        <v>18</v>
      </c>
      <c r="B14">
        <v>91.45</v>
      </c>
    </row>
    <row r="15" spans="1:2" x14ac:dyDescent="0.25">
      <c r="A15" t="s">
        <v>62</v>
      </c>
      <c r="B15">
        <v>53.54</v>
      </c>
    </row>
    <row r="16" spans="1:2" x14ac:dyDescent="0.25">
      <c r="A16" t="s">
        <v>63</v>
      </c>
      <c r="B16">
        <v>11.82</v>
      </c>
    </row>
    <row r="17" spans="1:2" x14ac:dyDescent="0.25">
      <c r="A17" t="s">
        <v>64</v>
      </c>
      <c r="B17">
        <v>41.71</v>
      </c>
    </row>
    <row r="18" spans="1:2" x14ac:dyDescent="0.25">
      <c r="A18" t="s">
        <v>65</v>
      </c>
      <c r="B18">
        <v>69.03</v>
      </c>
    </row>
    <row r="19" spans="1:2" x14ac:dyDescent="0.25">
      <c r="A19" t="s">
        <v>66</v>
      </c>
      <c r="B19">
        <v>321.02</v>
      </c>
    </row>
    <row r="20" spans="1:2" x14ac:dyDescent="0.25">
      <c r="A20" t="s">
        <v>67</v>
      </c>
      <c r="B20">
        <v>69.09</v>
      </c>
    </row>
    <row r="21" spans="1:2" x14ac:dyDescent="0.25">
      <c r="A21" t="s">
        <v>68</v>
      </c>
      <c r="B21">
        <v>231.08</v>
      </c>
    </row>
    <row r="22" spans="1:2" x14ac:dyDescent="0.25">
      <c r="A22" t="s">
        <v>69</v>
      </c>
      <c r="B22">
        <v>20.85</v>
      </c>
    </row>
    <row r="23" spans="1:2" x14ac:dyDescent="0.25">
      <c r="A23" t="s">
        <v>70</v>
      </c>
      <c r="B23">
        <v>147.06</v>
      </c>
    </row>
    <row r="24" spans="1:2" x14ac:dyDescent="0.25">
      <c r="A24" t="s">
        <v>71</v>
      </c>
      <c r="B24">
        <v>114.18</v>
      </c>
    </row>
    <row r="25" spans="1:2" x14ac:dyDescent="0.25">
      <c r="A25" t="s">
        <v>72</v>
      </c>
      <c r="B25">
        <v>31.37</v>
      </c>
    </row>
    <row r="26" spans="1:2" x14ac:dyDescent="0.25">
      <c r="A26" t="s">
        <v>73</v>
      </c>
      <c r="B26">
        <v>1.5</v>
      </c>
    </row>
    <row r="27" spans="1:2" x14ac:dyDescent="0.25">
      <c r="A27" t="s">
        <v>74</v>
      </c>
      <c r="B27">
        <v>518.89</v>
      </c>
    </row>
    <row r="28" spans="1:2" x14ac:dyDescent="0.25">
      <c r="A28" t="s">
        <v>75</v>
      </c>
      <c r="B28">
        <v>366.05</v>
      </c>
    </row>
    <row r="29" spans="1:2" x14ac:dyDescent="0.25">
      <c r="A29" t="s">
        <v>76</v>
      </c>
      <c r="B29">
        <v>152.83000000000001</v>
      </c>
    </row>
    <row r="30" spans="1:2" x14ac:dyDescent="0.25">
      <c r="A30" t="s">
        <v>77</v>
      </c>
      <c r="B30">
        <v>606.37</v>
      </c>
    </row>
    <row r="31" spans="1:2" x14ac:dyDescent="0.25">
      <c r="A31" t="s">
        <v>78</v>
      </c>
      <c r="B31">
        <v>414.55</v>
      </c>
    </row>
    <row r="32" spans="1:2" x14ac:dyDescent="0.25">
      <c r="A32" t="s">
        <v>79</v>
      </c>
      <c r="B32">
        <v>892.93</v>
      </c>
    </row>
    <row r="33" spans="1:2" x14ac:dyDescent="0.25">
      <c r="A33" t="s">
        <v>32</v>
      </c>
      <c r="B33">
        <v>1.5</v>
      </c>
    </row>
    <row r="34" spans="1:2" x14ac:dyDescent="0.25">
      <c r="A34" t="s">
        <v>33</v>
      </c>
      <c r="B34">
        <v>414.55</v>
      </c>
    </row>
    <row r="35" spans="1:2" x14ac:dyDescent="0.25">
      <c r="A35" t="s">
        <v>34</v>
      </c>
      <c r="B35">
        <v>231.08</v>
      </c>
    </row>
    <row r="36" spans="1:2" x14ac:dyDescent="0.25">
      <c r="A36" t="s">
        <v>80</v>
      </c>
      <c r="B36">
        <v>125.54</v>
      </c>
    </row>
    <row r="37" spans="1:2" x14ac:dyDescent="0.25">
      <c r="A37" t="s">
        <v>81</v>
      </c>
      <c r="B37">
        <v>796.25</v>
      </c>
    </row>
    <row r="38" spans="1:2" x14ac:dyDescent="0.25">
      <c r="A38" t="s">
        <v>82</v>
      </c>
      <c r="B38">
        <v>264.47000000000003</v>
      </c>
    </row>
    <row r="39" spans="1:2" x14ac:dyDescent="0.25">
      <c r="A39" t="s">
        <v>83</v>
      </c>
      <c r="B39">
        <v>632.4</v>
      </c>
    </row>
    <row r="40" spans="1:2" x14ac:dyDescent="0.25">
      <c r="A40" t="s">
        <v>84</v>
      </c>
      <c r="B40">
        <v>995.68</v>
      </c>
    </row>
    <row r="41" spans="1:2" x14ac:dyDescent="0.25">
      <c r="A41" t="s">
        <v>85</v>
      </c>
      <c r="B41">
        <v>414.55</v>
      </c>
    </row>
    <row r="42" spans="1:2" x14ac:dyDescent="0.25">
      <c r="A42" t="s">
        <v>86</v>
      </c>
      <c r="B42" s="31">
        <v>2740.94</v>
      </c>
    </row>
    <row r="43" spans="1:2" x14ac:dyDescent="0.25">
      <c r="A43" t="s">
        <v>87</v>
      </c>
      <c r="B43">
        <v>134.5</v>
      </c>
    </row>
    <row r="44" spans="1:2" x14ac:dyDescent="0.25">
      <c r="A44" t="s">
        <v>88</v>
      </c>
      <c r="B44">
        <v>680.59</v>
      </c>
    </row>
    <row r="45" spans="1:2" x14ac:dyDescent="0.25">
      <c r="A45" t="s">
        <v>89</v>
      </c>
      <c r="B45">
        <v>892.93</v>
      </c>
    </row>
    <row r="46" spans="1:2" x14ac:dyDescent="0.25">
      <c r="A46" t="s">
        <v>90</v>
      </c>
      <c r="B46">
        <v>134.5</v>
      </c>
    </row>
    <row r="47" spans="1:2" x14ac:dyDescent="0.25">
      <c r="A47" t="s">
        <v>91</v>
      </c>
      <c r="B47" s="31">
        <v>22736.35</v>
      </c>
    </row>
    <row r="48" spans="1:2" x14ac:dyDescent="0.25">
      <c r="A48" t="s">
        <v>92</v>
      </c>
      <c r="B48" s="31">
        <v>47231.06</v>
      </c>
    </row>
    <row r="49" spans="1:2" x14ac:dyDescent="0.25">
      <c r="A49" t="s">
        <v>93</v>
      </c>
      <c r="B49" s="31">
        <v>69967.41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5A03-37D7-461C-A4BF-CC4124F4DE2E}">
  <dimension ref="A1:D34"/>
  <sheetViews>
    <sheetView workbookViewId="0">
      <selection activeCell="B2" sqref="B2:D34"/>
    </sheetView>
  </sheetViews>
  <sheetFormatPr defaultRowHeight="15" x14ac:dyDescent="0.25"/>
  <cols>
    <col min="1" max="1" width="39.5703125" bestFit="1" customWidth="1"/>
  </cols>
  <sheetData>
    <row r="1" spans="1:4" x14ac:dyDescent="0.25">
      <c r="A1" t="s">
        <v>158</v>
      </c>
      <c r="B1" t="s">
        <v>159</v>
      </c>
      <c r="C1" t="s">
        <v>160</v>
      </c>
      <c r="D1" t="s">
        <v>161</v>
      </c>
    </row>
    <row r="2" spans="1:4" x14ac:dyDescent="0.25">
      <c r="A2" t="s">
        <v>8</v>
      </c>
      <c r="B2">
        <v>101.52</v>
      </c>
      <c r="C2">
        <v>9</v>
      </c>
      <c r="D2">
        <v>33.49</v>
      </c>
    </row>
    <row r="3" spans="1:4" x14ac:dyDescent="0.25">
      <c r="A3" t="s">
        <v>9</v>
      </c>
      <c r="B3">
        <v>3.18</v>
      </c>
      <c r="C3">
        <v>0</v>
      </c>
      <c r="D3">
        <v>206.03</v>
      </c>
    </row>
    <row r="4" spans="1:4" x14ac:dyDescent="0.25">
      <c r="A4" t="s">
        <v>10</v>
      </c>
      <c r="B4" s="40">
        <v>17.89</v>
      </c>
      <c r="C4">
        <v>0</v>
      </c>
      <c r="D4">
        <v>68.319999999999993</v>
      </c>
    </row>
    <row r="5" spans="1:4" x14ac:dyDescent="0.25">
      <c r="A5" t="s">
        <v>56</v>
      </c>
      <c r="B5" s="40">
        <v>92.55</v>
      </c>
      <c r="C5">
        <v>59.34</v>
      </c>
      <c r="D5">
        <v>294</v>
      </c>
    </row>
    <row r="6" spans="1:4" x14ac:dyDescent="0.25">
      <c r="A6" t="s">
        <v>57</v>
      </c>
      <c r="B6" s="40">
        <v>113.33</v>
      </c>
      <c r="C6">
        <v>24.08</v>
      </c>
      <c r="D6">
        <v>0.9</v>
      </c>
    </row>
    <row r="7" spans="1:4" x14ac:dyDescent="0.25">
      <c r="A7" t="s">
        <v>59</v>
      </c>
      <c r="B7">
        <v>0</v>
      </c>
      <c r="C7">
        <v>0</v>
      </c>
      <c r="D7">
        <v>0</v>
      </c>
    </row>
    <row r="8" spans="1:4" x14ac:dyDescent="0.25">
      <c r="A8" t="s">
        <v>60</v>
      </c>
      <c r="B8">
        <v>0</v>
      </c>
      <c r="C8">
        <v>0</v>
      </c>
      <c r="D8">
        <v>0</v>
      </c>
    </row>
    <row r="9" spans="1:4" x14ac:dyDescent="0.25">
      <c r="A9" t="s">
        <v>61</v>
      </c>
      <c r="B9">
        <v>52.23</v>
      </c>
      <c r="C9">
        <v>10.36</v>
      </c>
      <c r="D9">
        <v>6.5</v>
      </c>
    </row>
    <row r="10" spans="1:4" x14ac:dyDescent="0.25">
      <c r="A10" t="s">
        <v>16</v>
      </c>
      <c r="B10">
        <v>114.79</v>
      </c>
      <c r="C10">
        <v>24.08</v>
      </c>
      <c r="D10">
        <v>0.9</v>
      </c>
    </row>
    <row r="11" spans="1:4" x14ac:dyDescent="0.25">
      <c r="A11" t="s">
        <v>17</v>
      </c>
      <c r="B11">
        <v>22.74</v>
      </c>
      <c r="C11">
        <v>12</v>
      </c>
      <c r="D11">
        <v>178.48</v>
      </c>
    </row>
    <row r="12" spans="1:4" x14ac:dyDescent="0.25">
      <c r="A12" t="s">
        <v>18</v>
      </c>
      <c r="B12">
        <v>5.22</v>
      </c>
      <c r="C12">
        <v>0</v>
      </c>
      <c r="D12">
        <v>117.86</v>
      </c>
    </row>
    <row r="13" spans="1:4" x14ac:dyDescent="0.25">
      <c r="A13" t="s">
        <v>63</v>
      </c>
      <c r="B13">
        <v>11.09</v>
      </c>
      <c r="C13">
        <v>4</v>
      </c>
      <c r="D13">
        <v>40.92</v>
      </c>
    </row>
    <row r="14" spans="1:4" x14ac:dyDescent="0.25">
      <c r="A14" t="s">
        <v>64</v>
      </c>
      <c r="B14">
        <v>1.9</v>
      </c>
      <c r="C14">
        <v>0</v>
      </c>
      <c r="D14">
        <v>48.2</v>
      </c>
    </row>
    <row r="15" spans="1:4" x14ac:dyDescent="0.25">
      <c r="A15" t="s">
        <v>21</v>
      </c>
      <c r="B15">
        <v>28.26</v>
      </c>
      <c r="C15">
        <v>30.8</v>
      </c>
      <c r="D15">
        <v>88</v>
      </c>
    </row>
    <row r="16" spans="1:4" x14ac:dyDescent="0.25">
      <c r="A16" t="s">
        <v>67</v>
      </c>
      <c r="B16">
        <v>45.04</v>
      </c>
      <c r="C16">
        <v>0</v>
      </c>
      <c r="D16">
        <v>6.5</v>
      </c>
    </row>
    <row r="17" spans="1:4" x14ac:dyDescent="0.25">
      <c r="A17" t="s">
        <v>68</v>
      </c>
      <c r="B17">
        <v>146.13999999999999</v>
      </c>
      <c r="C17">
        <v>68.75</v>
      </c>
      <c r="D17">
        <v>88.45</v>
      </c>
    </row>
    <row r="18" spans="1:4" x14ac:dyDescent="0.25">
      <c r="A18" t="s">
        <v>69</v>
      </c>
      <c r="B18">
        <v>45.04</v>
      </c>
      <c r="C18">
        <v>10.36</v>
      </c>
      <c r="D18">
        <v>6.5</v>
      </c>
    </row>
    <row r="19" spans="1:4" x14ac:dyDescent="0.25">
      <c r="A19" t="s">
        <v>71</v>
      </c>
      <c r="B19">
        <v>0.18</v>
      </c>
      <c r="C19">
        <v>0</v>
      </c>
      <c r="D19">
        <v>6.54</v>
      </c>
    </row>
    <row r="20" spans="1:4" x14ac:dyDescent="0.25">
      <c r="A20" t="s">
        <v>72</v>
      </c>
      <c r="B20">
        <v>415.9</v>
      </c>
      <c r="C20">
        <v>127</v>
      </c>
      <c r="D20">
        <v>137.69</v>
      </c>
    </row>
    <row r="21" spans="1:4" x14ac:dyDescent="0.25">
      <c r="A21" t="s">
        <v>73</v>
      </c>
      <c r="B21">
        <v>268.12</v>
      </c>
      <c r="C21">
        <v>97.4</v>
      </c>
      <c r="D21">
        <v>49.03</v>
      </c>
    </row>
    <row r="22" spans="1:4" x14ac:dyDescent="0.25">
      <c r="A22" t="s">
        <v>75</v>
      </c>
      <c r="B22">
        <v>4469.18</v>
      </c>
      <c r="C22">
        <v>0</v>
      </c>
      <c r="D22">
        <v>0</v>
      </c>
    </row>
    <row r="23" spans="1:4" x14ac:dyDescent="0.25">
      <c r="A23" t="s">
        <v>76</v>
      </c>
      <c r="B23">
        <v>1518</v>
      </c>
      <c r="C23">
        <v>0</v>
      </c>
      <c r="D23">
        <v>0</v>
      </c>
    </row>
    <row r="24" spans="1:4" x14ac:dyDescent="0.25">
      <c r="A24" t="s">
        <v>78</v>
      </c>
      <c r="B24">
        <v>849.38</v>
      </c>
      <c r="C24">
        <v>246.85</v>
      </c>
      <c r="D24">
        <v>105.4</v>
      </c>
    </row>
    <row r="25" spans="1:4" x14ac:dyDescent="0.25">
      <c r="A25" t="s">
        <v>79</v>
      </c>
      <c r="B25">
        <v>542.16999999999996</v>
      </c>
      <c r="C25">
        <v>102.32</v>
      </c>
      <c r="D25">
        <v>110.45</v>
      </c>
    </row>
    <row r="26" spans="1:4" x14ac:dyDescent="0.25">
      <c r="A26" t="s">
        <v>32</v>
      </c>
      <c r="B26">
        <v>523.21</v>
      </c>
      <c r="C26">
        <v>217.38</v>
      </c>
      <c r="D26">
        <v>136.25</v>
      </c>
    </row>
    <row r="27" spans="1:4" x14ac:dyDescent="0.25">
      <c r="A27" t="s">
        <v>33</v>
      </c>
      <c r="B27">
        <v>796.25</v>
      </c>
      <c r="C27">
        <v>0</v>
      </c>
      <c r="D27">
        <v>0</v>
      </c>
    </row>
    <row r="28" spans="1:4" x14ac:dyDescent="0.25">
      <c r="A28" t="s">
        <v>34</v>
      </c>
      <c r="B28">
        <v>264.47000000000003</v>
      </c>
      <c r="C28">
        <v>0</v>
      </c>
      <c r="D28">
        <v>0</v>
      </c>
    </row>
    <row r="29" spans="1:4" x14ac:dyDescent="0.25">
      <c r="A29" t="s">
        <v>35</v>
      </c>
      <c r="B29">
        <v>11.2</v>
      </c>
      <c r="C29">
        <v>0</v>
      </c>
      <c r="D29">
        <v>0.65</v>
      </c>
    </row>
    <row r="30" spans="1:4" x14ac:dyDescent="0.25">
      <c r="A30" t="s">
        <v>147</v>
      </c>
      <c r="B30">
        <v>0</v>
      </c>
      <c r="C30">
        <v>0</v>
      </c>
      <c r="D30">
        <v>0.88</v>
      </c>
    </row>
    <row r="31" spans="1:4" x14ac:dyDescent="0.25">
      <c r="A31" t="s">
        <v>148</v>
      </c>
      <c r="B31">
        <v>0</v>
      </c>
      <c r="C31">
        <v>0</v>
      </c>
      <c r="D31">
        <v>0.16</v>
      </c>
    </row>
    <row r="32" spans="1:4" x14ac:dyDescent="0.25">
      <c r="A32" t="s">
        <v>38</v>
      </c>
      <c r="B32">
        <v>0</v>
      </c>
      <c r="C32">
        <v>0</v>
      </c>
      <c r="D32">
        <v>0</v>
      </c>
    </row>
    <row r="33" spans="1:4" x14ac:dyDescent="0.25">
      <c r="A33" t="s">
        <v>39</v>
      </c>
      <c r="B33">
        <v>0</v>
      </c>
      <c r="C33">
        <v>0</v>
      </c>
      <c r="D33">
        <v>0</v>
      </c>
    </row>
    <row r="34" spans="1:4" x14ac:dyDescent="0.25">
      <c r="A34" t="s">
        <v>40</v>
      </c>
      <c r="B34">
        <v>0</v>
      </c>
      <c r="C34">
        <v>0</v>
      </c>
      <c r="D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2DA8-C64F-483C-A672-7D1B60668C01}">
  <dimension ref="A1:B38"/>
  <sheetViews>
    <sheetView workbookViewId="0">
      <selection activeCell="B4" sqref="B4:B36"/>
    </sheetView>
  </sheetViews>
  <sheetFormatPr defaultRowHeight="15" x14ac:dyDescent="0.25"/>
  <sheetData>
    <row r="1" spans="1:2" x14ac:dyDescent="0.25">
      <c r="A1" t="s">
        <v>101</v>
      </c>
    </row>
    <row r="3" spans="1:2" ht="45" x14ac:dyDescent="0.25">
      <c r="A3" s="32" t="s">
        <v>102</v>
      </c>
      <c r="B3" s="34" t="s">
        <v>103</v>
      </c>
    </row>
    <row r="4" spans="1:2" x14ac:dyDescent="0.25">
      <c r="A4" s="35" t="s">
        <v>8</v>
      </c>
      <c r="B4" s="33">
        <v>118.85</v>
      </c>
    </row>
    <row r="5" spans="1:2" ht="45" x14ac:dyDescent="0.25">
      <c r="A5" s="35" t="s">
        <v>9</v>
      </c>
      <c r="B5" s="33">
        <v>205.7</v>
      </c>
    </row>
    <row r="6" spans="1:2" ht="45" x14ac:dyDescent="0.25">
      <c r="A6" s="35" t="s">
        <v>10</v>
      </c>
      <c r="B6" s="33">
        <v>73.430000000000007</v>
      </c>
    </row>
    <row r="7" spans="1:2" x14ac:dyDescent="0.25">
      <c r="A7" s="35" t="s">
        <v>104</v>
      </c>
      <c r="B7" s="33">
        <v>379.77</v>
      </c>
    </row>
    <row r="8" spans="1:2" ht="45" x14ac:dyDescent="0.25">
      <c r="A8" s="35" t="s">
        <v>105</v>
      </c>
      <c r="B8" s="33">
        <v>105.48</v>
      </c>
    </row>
    <row r="9" spans="1:2" ht="45" x14ac:dyDescent="0.25">
      <c r="A9" s="35" t="s">
        <v>106</v>
      </c>
      <c r="B9" s="33">
        <v>95.73</v>
      </c>
    </row>
    <row r="10" spans="1:2" x14ac:dyDescent="0.25">
      <c r="A10" s="35" t="s">
        <v>107</v>
      </c>
      <c r="B10" s="33">
        <v>19.78</v>
      </c>
    </row>
    <row r="11" spans="1:2" ht="45" x14ac:dyDescent="0.25">
      <c r="A11" s="35" t="s">
        <v>108</v>
      </c>
      <c r="B11" s="33">
        <v>39.880000000000003</v>
      </c>
    </row>
    <row r="12" spans="1:2" ht="45" x14ac:dyDescent="0.25">
      <c r="A12" s="35" t="s">
        <v>16</v>
      </c>
      <c r="B12" s="33">
        <v>325.29000000000002</v>
      </c>
    </row>
    <row r="13" spans="1:2" ht="30" x14ac:dyDescent="0.25">
      <c r="A13" s="35" t="s">
        <v>17</v>
      </c>
      <c r="B13" s="33">
        <v>24.87</v>
      </c>
    </row>
    <row r="14" spans="1:2" ht="45" x14ac:dyDescent="0.25">
      <c r="A14" s="35" t="s">
        <v>18</v>
      </c>
      <c r="B14" s="33">
        <v>51.87</v>
      </c>
    </row>
    <row r="15" spans="1:2" ht="60" x14ac:dyDescent="0.25">
      <c r="A15" s="35" t="s">
        <v>109</v>
      </c>
      <c r="B15" s="33">
        <v>3.9</v>
      </c>
    </row>
    <row r="16" spans="1:2" ht="60" x14ac:dyDescent="0.25">
      <c r="A16" s="35" t="s">
        <v>110</v>
      </c>
      <c r="B16" s="33">
        <v>13.85</v>
      </c>
    </row>
    <row r="17" spans="1:2" ht="75" x14ac:dyDescent="0.25">
      <c r="A17" s="35" t="s">
        <v>21</v>
      </c>
      <c r="B17" s="33">
        <v>54.15</v>
      </c>
    </row>
    <row r="18" spans="1:2" ht="45" x14ac:dyDescent="0.25">
      <c r="A18" s="35" t="s">
        <v>111</v>
      </c>
      <c r="B18" s="33">
        <v>31.79</v>
      </c>
    </row>
    <row r="19" spans="1:2" ht="45" x14ac:dyDescent="0.25">
      <c r="A19" s="35" t="s">
        <v>112</v>
      </c>
      <c r="B19" s="33">
        <v>160.65</v>
      </c>
    </row>
    <row r="20" spans="1:2" ht="45" x14ac:dyDescent="0.25">
      <c r="A20" s="35" t="s">
        <v>113</v>
      </c>
      <c r="B20" s="33">
        <v>16.63</v>
      </c>
    </row>
    <row r="21" spans="1:2" ht="45" x14ac:dyDescent="0.25">
      <c r="A21" s="35" t="s">
        <v>114</v>
      </c>
      <c r="B21" s="33">
        <v>106.03</v>
      </c>
    </row>
    <row r="22" spans="1:2" ht="45" x14ac:dyDescent="0.25">
      <c r="A22" s="35" t="s">
        <v>115</v>
      </c>
      <c r="B22" s="33">
        <v>22.02</v>
      </c>
    </row>
    <row r="23" spans="1:2" ht="45" x14ac:dyDescent="0.25">
      <c r="A23" s="35" t="s">
        <v>116</v>
      </c>
      <c r="B23" s="33" t="s">
        <v>117</v>
      </c>
    </row>
    <row r="24" spans="1:2" ht="30" x14ac:dyDescent="0.25">
      <c r="A24" s="35" t="s">
        <v>118</v>
      </c>
      <c r="B24" s="33">
        <v>228.5</v>
      </c>
    </row>
    <row r="25" spans="1:2" ht="45" x14ac:dyDescent="0.25">
      <c r="A25" s="35" t="s">
        <v>119</v>
      </c>
      <c r="B25" s="33">
        <v>86.76</v>
      </c>
    </row>
    <row r="26" spans="1:2" x14ac:dyDescent="0.25">
      <c r="A26" s="35" t="s">
        <v>120</v>
      </c>
      <c r="B26" s="33">
        <v>122.14</v>
      </c>
    </row>
    <row r="27" spans="1:2" ht="30" x14ac:dyDescent="0.25">
      <c r="A27" s="35" t="s">
        <v>121</v>
      </c>
      <c r="B27" s="33">
        <v>350.87</v>
      </c>
    </row>
    <row r="28" spans="1:2" x14ac:dyDescent="0.25">
      <c r="A28" s="35" t="s">
        <v>32</v>
      </c>
      <c r="B28" s="33">
        <v>5.53</v>
      </c>
    </row>
    <row r="29" spans="1:2" ht="60" x14ac:dyDescent="0.25">
      <c r="A29" s="35" t="s">
        <v>33</v>
      </c>
      <c r="B29" s="33">
        <v>617.53</v>
      </c>
    </row>
    <row r="30" spans="1:2" ht="60" x14ac:dyDescent="0.25">
      <c r="A30" s="35" t="s">
        <v>34</v>
      </c>
      <c r="B30" s="33">
        <v>367.81</v>
      </c>
    </row>
    <row r="31" spans="1:2" ht="30" x14ac:dyDescent="0.25">
      <c r="A31" s="35" t="s">
        <v>35</v>
      </c>
      <c r="B31" s="33">
        <v>70.72</v>
      </c>
    </row>
    <row r="32" spans="1:2" ht="30" x14ac:dyDescent="0.25">
      <c r="A32" s="35" t="s">
        <v>122</v>
      </c>
      <c r="B32" s="33">
        <v>33.700000000000003</v>
      </c>
    </row>
    <row r="33" spans="1:2" ht="45" x14ac:dyDescent="0.25">
      <c r="A33" s="35" t="s">
        <v>123</v>
      </c>
      <c r="B33" s="33">
        <v>0.44</v>
      </c>
    </row>
    <row r="34" spans="1:2" ht="30" x14ac:dyDescent="0.25">
      <c r="A34" s="35" t="s">
        <v>38</v>
      </c>
      <c r="B34" s="33">
        <v>112.9</v>
      </c>
    </row>
    <row r="35" spans="1:2" ht="30" x14ac:dyDescent="0.25">
      <c r="A35" s="35" t="s">
        <v>39</v>
      </c>
      <c r="B35" s="33">
        <v>15.36</v>
      </c>
    </row>
    <row r="36" spans="1:2" ht="45" x14ac:dyDescent="0.25">
      <c r="A36" s="35" t="s">
        <v>40</v>
      </c>
      <c r="B36" s="33">
        <v>0.11</v>
      </c>
    </row>
    <row r="37" spans="1:2" x14ac:dyDescent="0.25">
      <c r="A37" s="36"/>
    </row>
    <row r="38" spans="1:2" x14ac:dyDescent="0.25">
      <c r="A38" s="36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2D30-DEDF-4B6D-87FC-3F25714988F1}">
  <dimension ref="A1:F35"/>
  <sheetViews>
    <sheetView tabSelected="1" workbookViewId="0">
      <selection activeCell="E3" sqref="E3"/>
    </sheetView>
  </sheetViews>
  <sheetFormatPr defaultRowHeight="15" x14ac:dyDescent="0.25"/>
  <cols>
    <col min="2" max="2" width="15" customWidth="1"/>
    <col min="3" max="3" width="11.140625" customWidth="1"/>
    <col min="4" max="4" width="13.28515625" customWidth="1"/>
    <col min="5" max="5" width="9.7109375" customWidth="1"/>
    <col min="6" max="6" width="7" customWidth="1"/>
  </cols>
  <sheetData>
    <row r="1" spans="1:6" x14ac:dyDescent="0.25">
      <c r="C1">
        <v>3</v>
      </c>
      <c r="D1">
        <v>4</v>
      </c>
      <c r="E1">
        <v>5</v>
      </c>
      <c r="F1">
        <v>6</v>
      </c>
    </row>
    <row r="2" spans="1:6" x14ac:dyDescent="0.25">
      <c r="A2" s="3" t="s">
        <v>0</v>
      </c>
      <c r="B2" s="4" t="s">
        <v>1</v>
      </c>
      <c r="C2" s="42" t="s">
        <v>157</v>
      </c>
      <c r="D2" s="42" t="s">
        <v>6</v>
      </c>
      <c r="E2" s="5" t="s">
        <v>166</v>
      </c>
      <c r="F2" s="41" t="s">
        <v>7</v>
      </c>
    </row>
    <row r="3" spans="1:6" x14ac:dyDescent="0.25">
      <c r="A3" s="18">
        <v>1</v>
      </c>
      <c r="B3" s="6" t="s">
        <v>8</v>
      </c>
      <c r="C3" s="22">
        <v>14607</v>
      </c>
      <c r="D3" s="22">
        <v>1029.3599999999999</v>
      </c>
      <c r="E3" s="4">
        <v>2323.4299999999998</v>
      </c>
      <c r="F3" s="10">
        <v>3696.14</v>
      </c>
    </row>
    <row r="4" spans="1:6" x14ac:dyDescent="0.25">
      <c r="A4" s="18">
        <v>2</v>
      </c>
      <c r="B4" s="21" t="s">
        <v>9</v>
      </c>
      <c r="C4" s="8">
        <v>30425.95</v>
      </c>
      <c r="D4" s="8">
        <v>1156.74</v>
      </c>
      <c r="E4" s="8">
        <v>7868.06</v>
      </c>
      <c r="F4" s="10">
        <v>13234.26</v>
      </c>
    </row>
    <row r="5" spans="1:6" x14ac:dyDescent="0.25">
      <c r="A5" s="18">
        <v>3</v>
      </c>
      <c r="B5" s="8" t="s">
        <v>10</v>
      </c>
      <c r="C5" s="22">
        <v>11518.76</v>
      </c>
      <c r="D5" s="22">
        <v>1119.24</v>
      </c>
      <c r="E5" s="8">
        <v>2569.11</v>
      </c>
      <c r="F5" s="10">
        <v>3955.88</v>
      </c>
    </row>
    <row r="6" spans="1:6" x14ac:dyDescent="0.25">
      <c r="A6" s="18">
        <v>4</v>
      </c>
      <c r="B6" s="8" t="s">
        <v>11</v>
      </c>
      <c r="C6" s="8">
        <v>16019.05</v>
      </c>
      <c r="D6" s="8">
        <v>987.85</v>
      </c>
      <c r="E6" s="8">
        <v>4509.1499999999996</v>
      </c>
      <c r="F6" s="10">
        <v>8815.68</v>
      </c>
    </row>
    <row r="7" spans="1:6" x14ac:dyDescent="0.25">
      <c r="A7" s="18">
        <v>5</v>
      </c>
      <c r="B7" s="8" t="s">
        <v>12</v>
      </c>
      <c r="C7" s="22">
        <v>2573.75</v>
      </c>
      <c r="D7" s="22">
        <v>1320.95</v>
      </c>
      <c r="E7" s="8">
        <v>761.35</v>
      </c>
      <c r="F7" s="10">
        <v>1076.07</v>
      </c>
    </row>
    <row r="8" spans="1:6" x14ac:dyDescent="0.25">
      <c r="A8" s="18">
        <v>6</v>
      </c>
      <c r="B8" s="8" t="s">
        <v>13</v>
      </c>
      <c r="C8" s="8">
        <v>16177.51</v>
      </c>
      <c r="D8" s="8">
        <v>1176.19</v>
      </c>
      <c r="E8" s="8">
        <v>4032.51</v>
      </c>
      <c r="F8" s="10">
        <v>6513.57</v>
      </c>
    </row>
    <row r="9" spans="1:6" x14ac:dyDescent="0.25">
      <c r="A9" s="18">
        <v>7</v>
      </c>
      <c r="B9" s="8" t="s">
        <v>14</v>
      </c>
      <c r="C9" s="22">
        <v>9786.82</v>
      </c>
      <c r="D9" s="22">
        <v>1247.6300000000001</v>
      </c>
      <c r="E9" s="8">
        <v>1889.14</v>
      </c>
      <c r="F9" s="10">
        <v>2522.44</v>
      </c>
    </row>
    <row r="10" spans="1:6" x14ac:dyDescent="0.25">
      <c r="A10" s="18">
        <v>8</v>
      </c>
      <c r="B10" s="8" t="s">
        <v>15</v>
      </c>
      <c r="C10" s="8">
        <v>4881.8999999999996</v>
      </c>
      <c r="D10" s="8">
        <v>1124.48</v>
      </c>
      <c r="E10" s="8">
        <v>853.99</v>
      </c>
      <c r="F10" s="10">
        <v>1230.1099999999999</v>
      </c>
    </row>
    <row r="11" spans="1:6" x14ac:dyDescent="0.25">
      <c r="A11" s="18">
        <v>9</v>
      </c>
      <c r="B11" s="1" t="s">
        <v>16</v>
      </c>
      <c r="C11" s="22">
        <v>6173.74</v>
      </c>
      <c r="D11" s="22">
        <v>1277.26</v>
      </c>
      <c r="E11" s="8">
        <v>1213.18</v>
      </c>
      <c r="F11" s="10">
        <v>1593.5</v>
      </c>
    </row>
    <row r="12" spans="1:6" x14ac:dyDescent="0.25">
      <c r="A12" s="18">
        <v>10</v>
      </c>
      <c r="B12" s="23" t="s">
        <v>17</v>
      </c>
      <c r="C12" s="8">
        <v>15019</v>
      </c>
      <c r="D12" s="8">
        <v>1080.4100000000001</v>
      </c>
      <c r="E12" s="8">
        <v>3913.34</v>
      </c>
      <c r="F12" s="10">
        <v>5991.85</v>
      </c>
    </row>
    <row r="13" spans="1:6" x14ac:dyDescent="0.25">
      <c r="A13" s="18">
        <v>11</v>
      </c>
      <c r="B13" s="1" t="s">
        <v>18</v>
      </c>
      <c r="C13" s="22">
        <v>16051.12</v>
      </c>
      <c r="D13" s="22">
        <v>1170.98</v>
      </c>
      <c r="E13" s="8">
        <v>2493.2800000000002</v>
      </c>
      <c r="F13" s="10">
        <v>3559.87</v>
      </c>
    </row>
    <row r="14" spans="1:6" x14ac:dyDescent="0.25">
      <c r="A14" s="18">
        <v>12</v>
      </c>
      <c r="B14" s="8" t="s">
        <v>19</v>
      </c>
      <c r="C14" s="8">
        <v>9909.82</v>
      </c>
      <c r="D14" s="8">
        <v>1141.93</v>
      </c>
      <c r="E14" s="8">
        <v>2415.88</v>
      </c>
      <c r="F14" s="10">
        <v>3972.16</v>
      </c>
    </row>
    <row r="15" spans="1:6" x14ac:dyDescent="0.25">
      <c r="A15" s="18">
        <v>13</v>
      </c>
      <c r="B15" s="8" t="s">
        <v>20</v>
      </c>
      <c r="C15" s="22">
        <v>9715.9</v>
      </c>
      <c r="D15" s="22">
        <v>1212.96</v>
      </c>
      <c r="E15" s="8">
        <v>1341.08</v>
      </c>
      <c r="F15" s="10">
        <v>1978.76</v>
      </c>
    </row>
    <row r="16" spans="1:6" x14ac:dyDescent="0.25">
      <c r="A16" s="18">
        <v>14</v>
      </c>
      <c r="B16" s="8" t="s">
        <v>21</v>
      </c>
      <c r="C16" s="8">
        <v>12187.87</v>
      </c>
      <c r="D16" s="8">
        <v>1265.5</v>
      </c>
      <c r="E16" s="8">
        <v>3652.09</v>
      </c>
      <c r="F16" s="10">
        <v>6214.99</v>
      </c>
    </row>
    <row r="17" spans="1:6" x14ac:dyDescent="0.25">
      <c r="A17" s="18">
        <v>15</v>
      </c>
      <c r="B17" s="8" t="s">
        <v>22</v>
      </c>
      <c r="C17" s="22">
        <v>5965.29</v>
      </c>
      <c r="D17" s="22">
        <v>1158.6500000000001</v>
      </c>
      <c r="E17" s="8">
        <v>1466.13</v>
      </c>
      <c r="F17" s="10">
        <v>2164.19</v>
      </c>
    </row>
    <row r="18" spans="1:6" x14ac:dyDescent="0.25">
      <c r="A18" s="18">
        <v>16</v>
      </c>
      <c r="B18" s="8" t="s">
        <v>23</v>
      </c>
      <c r="C18" s="8">
        <v>8612.59</v>
      </c>
      <c r="D18" s="8">
        <v>1159.04</v>
      </c>
      <c r="E18" s="8">
        <v>1341.2</v>
      </c>
      <c r="F18" s="10">
        <v>1804.62</v>
      </c>
    </row>
    <row r="19" spans="1:6" x14ac:dyDescent="0.25">
      <c r="A19" s="18">
        <v>17</v>
      </c>
      <c r="B19" s="8" t="s">
        <v>24</v>
      </c>
      <c r="C19" s="22">
        <v>2582.33</v>
      </c>
      <c r="D19" s="22">
        <v>1102.01</v>
      </c>
      <c r="E19" s="8">
        <v>521.04999999999995</v>
      </c>
      <c r="F19" s="10">
        <v>770.93</v>
      </c>
    </row>
    <row r="20" spans="1:6" x14ac:dyDescent="0.25">
      <c r="A20" s="18">
        <v>18</v>
      </c>
      <c r="B20" s="8" t="s">
        <v>25</v>
      </c>
      <c r="C20" s="8">
        <v>17332.82</v>
      </c>
      <c r="D20" s="8">
        <v>1143</v>
      </c>
      <c r="E20" s="8">
        <v>5256.51</v>
      </c>
      <c r="F20" s="10">
        <v>8732.5499999999993</v>
      </c>
    </row>
    <row r="21" spans="1:6" x14ac:dyDescent="0.25">
      <c r="A21" s="18">
        <v>19</v>
      </c>
      <c r="B21" s="8" t="s">
        <v>26</v>
      </c>
      <c r="C21" s="22">
        <v>7392</v>
      </c>
      <c r="D21" s="22">
        <v>1196.32</v>
      </c>
      <c r="E21" s="8">
        <v>1532.71</v>
      </c>
      <c r="F21" s="10">
        <v>1614.48</v>
      </c>
    </row>
    <row r="22" spans="1:6" x14ac:dyDescent="0.25">
      <c r="A22" s="18">
        <v>20</v>
      </c>
      <c r="B22" s="8" t="s">
        <v>27</v>
      </c>
      <c r="C22" s="8">
        <v>3988.42</v>
      </c>
      <c r="D22" s="8">
        <v>1194.3</v>
      </c>
      <c r="E22" s="8">
        <v>527.02</v>
      </c>
      <c r="F22" s="10">
        <v>570.49</v>
      </c>
    </row>
    <row r="23" spans="1:6" x14ac:dyDescent="0.25">
      <c r="A23" s="18">
        <v>21</v>
      </c>
      <c r="B23" s="8" t="s">
        <v>28</v>
      </c>
      <c r="C23" s="22">
        <v>4799.47</v>
      </c>
      <c r="D23" s="22">
        <v>1270.5999999999999</v>
      </c>
      <c r="E23" s="8">
        <v>534.11</v>
      </c>
      <c r="F23" s="10">
        <v>670.1</v>
      </c>
    </row>
    <row r="24" spans="1:6" x14ac:dyDescent="0.25">
      <c r="A24" s="18">
        <v>22</v>
      </c>
      <c r="B24" s="8" t="s">
        <v>29</v>
      </c>
      <c r="C24" s="8">
        <v>3849.17</v>
      </c>
      <c r="D24" s="8">
        <v>1052.1500000000001</v>
      </c>
      <c r="E24" s="8">
        <v>743.76</v>
      </c>
      <c r="F24" s="10">
        <v>1356.62</v>
      </c>
    </row>
    <row r="25" spans="1:6" x14ac:dyDescent="0.25">
      <c r="A25" s="18">
        <v>23</v>
      </c>
      <c r="B25" s="8" t="s">
        <v>30</v>
      </c>
      <c r="C25" s="22">
        <v>5419.76</v>
      </c>
      <c r="D25" s="22">
        <v>1342</v>
      </c>
      <c r="E25" s="8">
        <v>1174.03</v>
      </c>
      <c r="F25" s="10">
        <v>1435.89</v>
      </c>
    </row>
    <row r="26" spans="1:6" x14ac:dyDescent="0.25">
      <c r="A26" s="18">
        <v>24</v>
      </c>
      <c r="B26" s="8" t="s">
        <v>31</v>
      </c>
      <c r="C26" s="8">
        <v>3064.73</v>
      </c>
      <c r="D26" s="8">
        <v>1329.45</v>
      </c>
      <c r="E26" s="8">
        <v>602.29999999999995</v>
      </c>
      <c r="F26" s="10">
        <v>720.64</v>
      </c>
    </row>
    <row r="27" spans="1:6" x14ac:dyDescent="0.25">
      <c r="A27" s="18">
        <v>25</v>
      </c>
      <c r="B27" s="8" t="s">
        <v>32</v>
      </c>
      <c r="C27" s="22">
        <v>8947.6299999999992</v>
      </c>
      <c r="D27" s="22">
        <v>1341.67</v>
      </c>
      <c r="E27" s="8">
        <v>4965.1000000000004</v>
      </c>
      <c r="F27" s="10">
        <v>7301.36</v>
      </c>
    </row>
    <row r="28" spans="1:6" x14ac:dyDescent="0.25">
      <c r="A28" s="18">
        <v>26</v>
      </c>
      <c r="B28" s="8" t="s">
        <v>33</v>
      </c>
      <c r="C28" s="8">
        <v>7269</v>
      </c>
      <c r="D28" s="8">
        <v>1011.67</v>
      </c>
      <c r="E28" s="8">
        <v>2306.98</v>
      </c>
      <c r="F28" s="10">
        <v>2853.13</v>
      </c>
    </row>
    <row r="29" spans="1:6" x14ac:dyDescent="0.25">
      <c r="A29" s="18">
        <v>27</v>
      </c>
      <c r="B29" s="8" t="s">
        <v>34</v>
      </c>
      <c r="C29" s="22">
        <v>13694.02</v>
      </c>
      <c r="D29" s="22">
        <v>1231.47</v>
      </c>
      <c r="E29" s="8">
        <v>1715.95</v>
      </c>
      <c r="F29" s="10">
        <v>1454.14</v>
      </c>
    </row>
    <row r="30" spans="1:6" x14ac:dyDescent="0.25">
      <c r="A30" s="18">
        <v>28</v>
      </c>
      <c r="B30" s="8" t="s">
        <v>35</v>
      </c>
      <c r="C30" s="8">
        <v>42639.23</v>
      </c>
      <c r="D30" s="8">
        <v>1096.1099999999999</v>
      </c>
      <c r="E30" s="8">
        <v>26406.59</v>
      </c>
      <c r="F30" s="10">
        <v>44311.839999999997</v>
      </c>
    </row>
    <row r="31" spans="1:6" x14ac:dyDescent="0.25">
      <c r="A31" s="18">
        <v>29</v>
      </c>
      <c r="B31" s="8" t="s">
        <v>36</v>
      </c>
      <c r="C31" s="22">
        <v>49787.31</v>
      </c>
      <c r="D31" s="22">
        <v>1055.51</v>
      </c>
      <c r="E31" s="8">
        <v>18233.88</v>
      </c>
      <c r="F31" s="10">
        <v>30391.43</v>
      </c>
    </row>
    <row r="32" spans="1:6" x14ac:dyDescent="0.25">
      <c r="A32" s="18">
        <v>30</v>
      </c>
      <c r="B32" s="8" t="s">
        <v>37</v>
      </c>
      <c r="C32" s="8">
        <v>5933.33</v>
      </c>
      <c r="D32" s="8">
        <v>1176.3</v>
      </c>
      <c r="E32" s="8">
        <v>2622.11</v>
      </c>
      <c r="F32" s="10">
        <v>3891.18</v>
      </c>
    </row>
    <row r="33" spans="1:6" x14ac:dyDescent="0.25">
      <c r="A33" s="18">
        <v>31</v>
      </c>
      <c r="B33" s="8" t="s">
        <v>38</v>
      </c>
      <c r="C33" s="22">
        <v>51452.15</v>
      </c>
      <c r="D33" s="22">
        <v>1119.01</v>
      </c>
      <c r="E33" s="8">
        <v>33690.120000000003</v>
      </c>
      <c r="F33" s="10">
        <v>61637.47</v>
      </c>
    </row>
    <row r="34" spans="1:6" x14ac:dyDescent="0.25">
      <c r="A34" s="18">
        <v>32</v>
      </c>
      <c r="B34" s="8" t="s">
        <v>39</v>
      </c>
      <c r="C34" s="8">
        <v>17078.009999999998</v>
      </c>
      <c r="D34" s="8">
        <v>1131.31</v>
      </c>
      <c r="E34" s="8">
        <v>14122.45</v>
      </c>
      <c r="F34" s="10">
        <v>28396.46</v>
      </c>
    </row>
    <row r="35" spans="1:6" x14ac:dyDescent="0.25">
      <c r="A35" s="19">
        <v>33</v>
      </c>
      <c r="B35" s="15" t="s">
        <v>40</v>
      </c>
      <c r="C35" s="22">
        <v>18040.63</v>
      </c>
      <c r="D35" s="22">
        <v>1324.57</v>
      </c>
      <c r="E35" s="15">
        <v>22419.13</v>
      </c>
      <c r="F35" s="2">
        <v>38198.379999999997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2EF3-E95E-45B3-9D5A-928F0C55777F}">
  <dimension ref="A1:J34"/>
  <sheetViews>
    <sheetView workbookViewId="0">
      <selection activeCell="J1" sqref="J1:J34"/>
    </sheetView>
  </sheetViews>
  <sheetFormatPr defaultRowHeight="15" x14ac:dyDescent="0.25"/>
  <cols>
    <col min="1" max="1" width="21" customWidth="1"/>
    <col min="4" max="4" width="36" customWidth="1"/>
    <col min="5" max="5" width="31.85546875" customWidth="1"/>
    <col min="6" max="6" width="31.42578125" customWidth="1"/>
  </cols>
  <sheetData>
    <row r="1" spans="1:10" ht="135" x14ac:dyDescent="0.25">
      <c r="A1" s="48" t="s">
        <v>1</v>
      </c>
      <c r="B1" t="s">
        <v>163</v>
      </c>
      <c r="C1" t="s">
        <v>164</v>
      </c>
      <c r="D1" s="46" t="s">
        <v>53</v>
      </c>
      <c r="E1" s="46" t="s">
        <v>52</v>
      </c>
      <c r="F1" s="42" t="s">
        <v>5</v>
      </c>
      <c r="G1" t="s">
        <v>165</v>
      </c>
      <c r="H1" s="27" t="s">
        <v>42</v>
      </c>
      <c r="I1" s="27" t="s">
        <v>162</v>
      </c>
      <c r="J1" s="4" t="s">
        <v>2</v>
      </c>
    </row>
    <row r="2" spans="1:10" x14ac:dyDescent="0.25">
      <c r="A2" s="49" t="s">
        <v>8</v>
      </c>
      <c r="B2" s="43">
        <v>0.91678311489514197</v>
      </c>
      <c r="C2" s="56">
        <v>2323.4299999999998</v>
      </c>
      <c r="D2" s="22">
        <v>0</v>
      </c>
      <c r="E2" s="22">
        <v>45632.639999999999</v>
      </c>
      <c r="F2" s="43">
        <v>4985</v>
      </c>
      <c r="G2">
        <v>1</v>
      </c>
      <c r="H2">
        <v>101.52</v>
      </c>
      <c r="I2" t="e">
        <f>SUM(Table2[[#This Row],[Proportion of Power Plant Capacity Rental]:[Proportion of Power Plant Capacity Resulting from the Project]])</f>
        <v>#VALUE!</v>
      </c>
      <c r="J2" s="7">
        <v>179.49</v>
      </c>
    </row>
    <row r="3" spans="1:10" x14ac:dyDescent="0.25">
      <c r="A3" s="50" t="s">
        <v>9</v>
      </c>
      <c r="B3" s="44">
        <v>0.93252917071270303</v>
      </c>
      <c r="C3" s="57">
        <v>7868.06</v>
      </c>
      <c r="D3" s="8">
        <v>0</v>
      </c>
      <c r="E3" s="8">
        <v>2209.96</v>
      </c>
      <c r="F3" s="44">
        <v>1257</v>
      </c>
      <c r="G3">
        <v>1</v>
      </c>
      <c r="H3">
        <v>3.18</v>
      </c>
      <c r="I3">
        <f>SUM(Table2[[#This Row],[Proportion of Power Plant Capacity Rental]:[Proportion of Power Plant Capacity Resulting from the Project]])</f>
        <v>42.49</v>
      </c>
      <c r="J3" s="11">
        <v>210.06</v>
      </c>
    </row>
    <row r="4" spans="1:10" x14ac:dyDescent="0.25">
      <c r="A4" s="51" t="s">
        <v>10</v>
      </c>
      <c r="B4" s="43">
        <v>0.90884826062955004</v>
      </c>
      <c r="C4" s="56">
        <v>2569.11</v>
      </c>
      <c r="D4" s="22">
        <v>0</v>
      </c>
      <c r="E4" s="22">
        <v>8549.08</v>
      </c>
      <c r="F4" s="43">
        <v>1286</v>
      </c>
      <c r="G4">
        <v>1</v>
      </c>
      <c r="H4" s="40">
        <v>17.89</v>
      </c>
      <c r="I4" s="40">
        <f>SUM(Table2[[#This Row],[Proportion of Power Plant Capacity Rental]:[Proportion of Power Plant Capacity Resulting from the Project]])</f>
        <v>206.03</v>
      </c>
      <c r="J4" s="7">
        <v>91.63</v>
      </c>
    </row>
    <row r="5" spans="1:10" x14ac:dyDescent="0.25">
      <c r="A5" s="52" t="s">
        <v>11</v>
      </c>
      <c r="B5" s="44">
        <v>0.94747684342246996</v>
      </c>
      <c r="C5" s="57">
        <v>4509.1499999999996</v>
      </c>
      <c r="D5" s="8">
        <v>1650.95</v>
      </c>
      <c r="E5" s="8">
        <v>86926.95</v>
      </c>
      <c r="F5" s="44">
        <v>107</v>
      </c>
      <c r="G5">
        <v>1</v>
      </c>
      <c r="H5" s="40">
        <v>92.55</v>
      </c>
      <c r="I5" s="40">
        <f>SUM(Table2[[#This Row],[Proportion of Power Plant Capacity Rental]:[Proportion of Power Plant Capacity Resulting from the Project]])</f>
        <v>68.319999999999993</v>
      </c>
      <c r="J5" s="8">
        <v>486.37</v>
      </c>
    </row>
    <row r="6" spans="1:10" x14ac:dyDescent="0.25">
      <c r="A6" s="51" t="s">
        <v>12</v>
      </c>
      <c r="B6" s="43">
        <v>0.91972281763795405</v>
      </c>
      <c r="C6" s="56">
        <v>761.35</v>
      </c>
      <c r="D6" s="22">
        <v>0</v>
      </c>
      <c r="E6" s="22">
        <v>115480.15</v>
      </c>
      <c r="F6" s="43">
        <v>2</v>
      </c>
      <c r="G6">
        <v>1</v>
      </c>
      <c r="H6" s="40">
        <v>113.33</v>
      </c>
      <c r="I6" s="40">
        <f>SUM(Table2[[#This Row],[Proportion of Power Plant Capacity Rental]:[Proportion of Power Plant Capacity Resulting from the Project]])</f>
        <v>353.34000000000003</v>
      </c>
      <c r="J6" s="8">
        <v>166.34</v>
      </c>
    </row>
    <row r="7" spans="1:10" x14ac:dyDescent="0.25">
      <c r="A7" s="52" t="s">
        <v>13</v>
      </c>
      <c r="B7" s="44">
        <v>0.93234074355570096</v>
      </c>
      <c r="C7" s="57">
        <v>4032.51</v>
      </c>
      <c r="D7" s="8">
        <v>0</v>
      </c>
      <c r="E7" s="8">
        <v>0</v>
      </c>
      <c r="F7" s="44">
        <v>1322</v>
      </c>
      <c r="G7">
        <v>1</v>
      </c>
      <c r="H7">
        <v>0</v>
      </c>
      <c r="I7">
        <f>SUM(Table2[[#This Row],[Proportion of Power Plant Capacity Rental]:[Proportion of Power Plant Capacity Resulting from the Project]])</f>
        <v>24.979999999999997</v>
      </c>
      <c r="J7" s="8">
        <v>127.42</v>
      </c>
    </row>
    <row r="8" spans="1:10" x14ac:dyDescent="0.25">
      <c r="A8" s="51" t="s">
        <v>14</v>
      </c>
      <c r="B8" s="43">
        <v>0.88648983082483901</v>
      </c>
      <c r="C8" s="56">
        <v>1889.14</v>
      </c>
      <c r="D8" s="22">
        <v>472.74</v>
      </c>
      <c r="E8" s="22">
        <v>0</v>
      </c>
      <c r="F8" s="43">
        <v>576</v>
      </c>
      <c r="G8">
        <v>1</v>
      </c>
      <c r="H8">
        <v>0</v>
      </c>
      <c r="I8">
        <f>SUM(Table2[[#This Row],[Proportion of Power Plant Capacity Rental]:[Proportion of Power Plant Capacity Resulting from the Project]])</f>
        <v>0</v>
      </c>
      <c r="J8" s="8">
        <v>38.369999999999997</v>
      </c>
    </row>
    <row r="9" spans="1:10" x14ac:dyDescent="0.25">
      <c r="A9" s="52" t="s">
        <v>15</v>
      </c>
      <c r="B9" s="44">
        <v>0.90775655431237101</v>
      </c>
      <c r="C9" s="57">
        <v>853.99</v>
      </c>
      <c r="D9" s="8">
        <v>0</v>
      </c>
      <c r="E9" s="8">
        <v>9051.67</v>
      </c>
      <c r="F9" s="44">
        <v>216</v>
      </c>
      <c r="G9">
        <v>1</v>
      </c>
      <c r="H9">
        <v>52.23</v>
      </c>
      <c r="I9">
        <f>SUM(Table2[[#This Row],[Proportion of Power Plant Capacity Rental]:[Proportion of Power Plant Capacity Resulting from the Project]])</f>
        <v>0</v>
      </c>
      <c r="J9" s="8">
        <v>65.08</v>
      </c>
    </row>
    <row r="10" spans="1:10" x14ac:dyDescent="0.25">
      <c r="A10" s="53" t="s">
        <v>16</v>
      </c>
      <c r="B10" s="43">
        <v>0.89222703556384297</v>
      </c>
      <c r="C10" s="56">
        <v>1213.18</v>
      </c>
      <c r="D10" s="22">
        <v>708424.43</v>
      </c>
      <c r="E10" s="22">
        <v>134381.68</v>
      </c>
      <c r="F10" s="43">
        <v>1366</v>
      </c>
      <c r="G10">
        <v>1</v>
      </c>
      <c r="H10">
        <v>114.79</v>
      </c>
      <c r="I10">
        <f>SUM(Table2[[#This Row],[Proportion of Power Plant Capacity Rental]:[Proportion of Power Plant Capacity Resulting from the Project]])</f>
        <v>16.86</v>
      </c>
      <c r="J10" s="12">
        <v>370.75</v>
      </c>
    </row>
    <row r="11" spans="1:10" x14ac:dyDescent="0.25">
      <c r="A11" s="54" t="s">
        <v>17</v>
      </c>
      <c r="B11" s="44">
        <v>0.87748292143776796</v>
      </c>
      <c r="C11" s="57">
        <v>3913.34</v>
      </c>
      <c r="D11" s="8">
        <v>0</v>
      </c>
      <c r="E11" s="8">
        <v>792.09</v>
      </c>
      <c r="F11" s="44">
        <v>1435</v>
      </c>
      <c r="G11">
        <v>1</v>
      </c>
      <c r="H11">
        <v>22.74</v>
      </c>
      <c r="I11">
        <f>SUM(Table2[[#This Row],[Proportion of Power Plant Capacity Rental]:[Proportion of Power Plant Capacity Resulting from the Project]])</f>
        <v>24.979999999999997</v>
      </c>
      <c r="J11" s="7">
        <v>53.28</v>
      </c>
    </row>
    <row r="12" spans="1:10" x14ac:dyDescent="0.25">
      <c r="A12" s="53" t="s">
        <v>18</v>
      </c>
      <c r="B12" s="43">
        <v>0.90756306359518102</v>
      </c>
      <c r="C12" s="56">
        <v>2493.2800000000002</v>
      </c>
      <c r="D12" s="22">
        <v>0</v>
      </c>
      <c r="E12" s="22">
        <v>55927.33</v>
      </c>
      <c r="F12" s="43">
        <v>3258</v>
      </c>
      <c r="G12">
        <v>1</v>
      </c>
      <c r="H12">
        <v>5.22</v>
      </c>
      <c r="I12">
        <f>SUM(Table2[[#This Row],[Proportion of Power Plant Capacity Rental]:[Proportion of Power Plant Capacity Resulting from the Project]])</f>
        <v>190.48</v>
      </c>
      <c r="J12" s="1">
        <v>106.51</v>
      </c>
    </row>
    <row r="13" spans="1:10" x14ac:dyDescent="0.25">
      <c r="A13" s="52" t="s">
        <v>19</v>
      </c>
      <c r="B13" s="44">
        <v>0.93779442469904395</v>
      </c>
      <c r="C13" s="57">
        <v>2415.88</v>
      </c>
      <c r="D13" s="8">
        <v>0</v>
      </c>
      <c r="E13" s="8">
        <v>3629.6099999999997</v>
      </c>
      <c r="F13" s="44">
        <v>1214</v>
      </c>
      <c r="G13">
        <v>1</v>
      </c>
      <c r="H13">
        <v>11.09</v>
      </c>
      <c r="I13">
        <f>SUM(Table2[[#This Row],[Proportion of Power Plant Capacity Rental]:[Proportion of Power Plant Capacity Resulting from the Project]])</f>
        <v>117.86</v>
      </c>
      <c r="J13" s="8">
        <v>16.38</v>
      </c>
    </row>
    <row r="14" spans="1:10" x14ac:dyDescent="0.25">
      <c r="A14" s="51" t="s">
        <v>20</v>
      </c>
      <c r="B14" s="43">
        <v>0.94199220805376005</v>
      </c>
      <c r="C14" s="56">
        <v>1341.08</v>
      </c>
      <c r="D14" s="22">
        <v>0</v>
      </c>
      <c r="E14" s="22">
        <v>10496.08</v>
      </c>
      <c r="F14" s="43">
        <v>1099</v>
      </c>
      <c r="G14">
        <v>1</v>
      </c>
      <c r="H14">
        <v>1.9</v>
      </c>
      <c r="I14">
        <f>SUM(Table2[[#This Row],[Proportion of Power Plant Capacity Rental]:[Proportion of Power Plant Capacity Resulting from the Project]])</f>
        <v>44.92</v>
      </c>
      <c r="J14" s="8">
        <v>58.17</v>
      </c>
    </row>
    <row r="15" spans="1:10" x14ac:dyDescent="0.25">
      <c r="A15" s="52" t="s">
        <v>21</v>
      </c>
      <c r="B15" s="44">
        <v>0.95279268515051696</v>
      </c>
      <c r="C15" s="57">
        <v>3652.09</v>
      </c>
      <c r="D15" s="8">
        <v>0</v>
      </c>
      <c r="E15" s="8">
        <v>16976.23</v>
      </c>
      <c r="F15" s="44">
        <v>3408</v>
      </c>
      <c r="G15">
        <v>1</v>
      </c>
      <c r="H15">
        <v>28.26</v>
      </c>
      <c r="I15">
        <f>SUM(Table2[[#This Row],[Proportion of Power Plant Capacity Rental]:[Proportion of Power Plant Capacity Resulting from the Project]])</f>
        <v>48.2</v>
      </c>
      <c r="J15" s="8">
        <v>131.75</v>
      </c>
    </row>
    <row r="16" spans="1:10" x14ac:dyDescent="0.25">
      <c r="A16" s="51" t="s">
        <v>22</v>
      </c>
      <c r="B16" s="43">
        <v>0.90297883700234904</v>
      </c>
      <c r="C16" s="56">
        <v>1466.13</v>
      </c>
      <c r="D16" s="22">
        <v>0</v>
      </c>
      <c r="E16" s="22">
        <v>32479.22</v>
      </c>
      <c r="F16" s="43">
        <v>150</v>
      </c>
      <c r="G16">
        <v>1</v>
      </c>
      <c r="H16">
        <v>45.04</v>
      </c>
      <c r="I16">
        <f>SUM(Table2[[#This Row],[Proportion of Power Plant Capacity Rental]:[Proportion of Power Plant Capacity Resulting from the Project]])</f>
        <v>118.8</v>
      </c>
      <c r="J16" s="8">
        <v>75.510000000000005</v>
      </c>
    </row>
    <row r="17" spans="1:10" x14ac:dyDescent="0.25">
      <c r="A17" s="52" t="s">
        <v>23</v>
      </c>
      <c r="B17" s="44">
        <v>0.88338721995344505</v>
      </c>
      <c r="C17" s="57">
        <v>1341.2</v>
      </c>
      <c r="D17" s="8">
        <v>0</v>
      </c>
      <c r="E17" s="8">
        <v>151147.06</v>
      </c>
      <c r="F17" s="44">
        <v>77</v>
      </c>
      <c r="G17">
        <v>1</v>
      </c>
      <c r="H17">
        <v>146.13999999999999</v>
      </c>
      <c r="I17">
        <f>SUM(Table2[[#This Row],[Proportion of Power Plant Capacity Rental]:[Proportion of Power Plant Capacity Resulting from the Project]])</f>
        <v>6.5</v>
      </c>
      <c r="J17" s="8">
        <v>251.71</v>
      </c>
    </row>
    <row r="18" spans="1:10" x14ac:dyDescent="0.25">
      <c r="A18" s="51" t="s">
        <v>24</v>
      </c>
      <c r="B18" s="43">
        <v>0.91128957442019898</v>
      </c>
      <c r="C18" s="56">
        <v>521.04999999999995</v>
      </c>
      <c r="D18" s="22">
        <v>0</v>
      </c>
      <c r="E18" s="22">
        <v>0</v>
      </c>
      <c r="F18" s="43">
        <v>30</v>
      </c>
      <c r="G18">
        <v>1</v>
      </c>
      <c r="H18">
        <v>45.04</v>
      </c>
      <c r="I18">
        <f>SUM(Table2[[#This Row],[Proportion of Power Plant Capacity Rental]:[Proportion of Power Plant Capacity Resulting from the Project]])</f>
        <v>157.19999999999999</v>
      </c>
      <c r="J18" s="8">
        <v>21.18</v>
      </c>
    </row>
    <row r="19" spans="1:10" x14ac:dyDescent="0.25">
      <c r="A19" s="52" t="s">
        <v>25</v>
      </c>
      <c r="B19" s="44">
        <v>0.92311889187013596</v>
      </c>
      <c r="C19" s="57">
        <v>5256.51</v>
      </c>
      <c r="D19" s="8">
        <v>0</v>
      </c>
      <c r="E19" s="8">
        <v>27822.1</v>
      </c>
      <c r="F19" s="44">
        <v>3902</v>
      </c>
      <c r="G19">
        <v>1</v>
      </c>
      <c r="H19">
        <v>0.18</v>
      </c>
      <c r="I19">
        <f>SUM(Table2[[#This Row],[Proportion of Power Plant Capacity Rental]:[Proportion of Power Plant Capacity Resulting from the Project]])</f>
        <v>16.86</v>
      </c>
      <c r="J19" s="8">
        <v>116</v>
      </c>
    </row>
    <row r="20" spans="1:10" x14ac:dyDescent="0.25">
      <c r="A20" s="51" t="s">
        <v>26</v>
      </c>
      <c r="B20" s="43">
        <v>0.74216968391139604</v>
      </c>
      <c r="C20" s="56">
        <v>1532.71</v>
      </c>
      <c r="D20" s="22">
        <v>0</v>
      </c>
      <c r="E20" s="22">
        <v>18156.11</v>
      </c>
      <c r="F20" s="43">
        <v>1380</v>
      </c>
      <c r="G20">
        <v>2</v>
      </c>
      <c r="H20">
        <v>415.9</v>
      </c>
      <c r="I20">
        <f>SUM(Table2[[#This Row],[Proportion of Power Plant Capacity Rental]:[Proportion of Power Plant Capacity Resulting from the Project]])</f>
        <v>6.54</v>
      </c>
      <c r="J20" s="8">
        <v>36.89</v>
      </c>
    </row>
    <row r="21" spans="1:10" x14ac:dyDescent="0.25">
      <c r="A21" s="52" t="s">
        <v>27</v>
      </c>
      <c r="B21" s="44">
        <v>0.799081716775361</v>
      </c>
      <c r="C21" s="57">
        <v>527.02</v>
      </c>
      <c r="D21" s="8">
        <v>0</v>
      </c>
      <c r="E21" s="8">
        <v>9665.98</v>
      </c>
      <c r="F21" s="44">
        <v>196</v>
      </c>
      <c r="G21">
        <v>2</v>
      </c>
      <c r="H21">
        <v>268.12</v>
      </c>
      <c r="I21">
        <f>SUM(Table2[[#This Row],[Proportion of Power Plant Capacity Rental]:[Proportion of Power Plant Capacity Resulting from the Project]])</f>
        <v>264.69</v>
      </c>
      <c r="J21" s="8">
        <v>1.77</v>
      </c>
    </row>
    <row r="22" spans="1:10" x14ac:dyDescent="0.25">
      <c r="A22" s="51" t="s">
        <v>28</v>
      </c>
      <c r="B22" s="43">
        <v>0.91341366808004498</v>
      </c>
      <c r="C22" s="56">
        <v>534.11</v>
      </c>
      <c r="D22" s="22">
        <v>0</v>
      </c>
      <c r="E22" s="22">
        <v>0</v>
      </c>
      <c r="F22" s="43">
        <v>562</v>
      </c>
      <c r="G22">
        <v>1</v>
      </c>
      <c r="H22">
        <v>4469.18</v>
      </c>
      <c r="I22">
        <f>SUM(Table2[[#This Row],[Proportion of Power Plant Capacity Rental]:[Proportion of Power Plant Capacity Resulting from the Project]])</f>
        <v>146.43</v>
      </c>
      <c r="J22" s="8">
        <v>419.53</v>
      </c>
    </row>
    <row r="23" spans="1:10" x14ac:dyDescent="0.25">
      <c r="A23" s="52" t="s">
        <v>29</v>
      </c>
      <c r="B23" s="44">
        <v>0.95839160607498097</v>
      </c>
      <c r="C23" s="57">
        <v>743.76</v>
      </c>
      <c r="D23" s="8">
        <v>111870.91</v>
      </c>
      <c r="E23" s="8">
        <v>295679.26</v>
      </c>
      <c r="F23" s="44">
        <v>195</v>
      </c>
      <c r="G23">
        <v>1</v>
      </c>
      <c r="H23">
        <v>1518</v>
      </c>
      <c r="I23">
        <f>SUM(Table2[[#This Row],[Proportion of Power Plant Capacity Rental]:[Proportion of Power Plant Capacity Resulting from the Project]])</f>
        <v>0</v>
      </c>
      <c r="J23" s="8">
        <v>180.94</v>
      </c>
    </row>
    <row r="24" spans="1:10" x14ac:dyDescent="0.25">
      <c r="A24" s="51" t="s">
        <v>30</v>
      </c>
      <c r="B24" s="43">
        <v>0.86570530039415505</v>
      </c>
      <c r="C24" s="56">
        <v>1174.03</v>
      </c>
      <c r="D24" s="22">
        <v>0</v>
      </c>
      <c r="E24" s="22">
        <v>113907.62</v>
      </c>
      <c r="F24" s="43">
        <v>11</v>
      </c>
      <c r="G24">
        <v>1</v>
      </c>
      <c r="H24">
        <v>849.38</v>
      </c>
      <c r="I24">
        <f>SUM(Table2[[#This Row],[Proportion of Power Plant Capacity Rental]:[Proportion of Power Plant Capacity Resulting from the Project]])</f>
        <v>0</v>
      </c>
      <c r="J24" s="8">
        <v>203.13</v>
      </c>
    </row>
    <row r="25" spans="1:10" x14ac:dyDescent="0.25">
      <c r="A25" s="52" t="s">
        <v>31</v>
      </c>
      <c r="B25" s="44">
        <v>0.86647763898659802</v>
      </c>
      <c r="C25" s="57">
        <v>602.29999999999995</v>
      </c>
      <c r="D25" s="8">
        <v>0</v>
      </c>
      <c r="E25" s="8">
        <v>161432.03</v>
      </c>
      <c r="F25" s="44">
        <v>6</v>
      </c>
      <c r="G25">
        <v>1</v>
      </c>
      <c r="H25">
        <v>542.16999999999996</v>
      </c>
      <c r="I25">
        <f>SUM(Table2[[#This Row],[Proportion of Power Plant Capacity Rental]:[Proportion of Power Plant Capacity Resulting from the Project]])</f>
        <v>352.25</v>
      </c>
      <c r="J25" s="8">
        <v>480.15</v>
      </c>
    </row>
    <row r="26" spans="1:10" x14ac:dyDescent="0.25">
      <c r="A26" s="51" t="s">
        <v>32</v>
      </c>
      <c r="B26" s="43">
        <v>0.88236229634595398</v>
      </c>
      <c r="C26" s="56">
        <v>4965.1000000000004</v>
      </c>
      <c r="D26" s="22">
        <v>72605.3</v>
      </c>
      <c r="E26" s="22">
        <v>356165.43</v>
      </c>
      <c r="F26" s="43">
        <v>154</v>
      </c>
      <c r="G26">
        <v>1</v>
      </c>
      <c r="H26">
        <v>523.21</v>
      </c>
      <c r="I26">
        <f>SUM(Table2[[#This Row],[Proportion of Power Plant Capacity Rental]:[Proportion of Power Plant Capacity Resulting from the Project]])</f>
        <v>212.76999999999998</v>
      </c>
      <c r="J26" s="8">
        <v>6.8</v>
      </c>
    </row>
    <row r="27" spans="1:10" x14ac:dyDescent="0.25">
      <c r="A27" s="52" t="s">
        <v>33</v>
      </c>
      <c r="B27" s="44">
        <v>0.73761595838716898</v>
      </c>
      <c r="C27" s="57">
        <v>2306.98</v>
      </c>
      <c r="D27" s="8">
        <v>0</v>
      </c>
      <c r="E27" s="8">
        <v>0</v>
      </c>
      <c r="F27" s="44">
        <v>944</v>
      </c>
      <c r="G27">
        <v>2</v>
      </c>
      <c r="H27">
        <v>796.25</v>
      </c>
      <c r="I27">
        <f>SUM(Table2[[#This Row],[Proportion of Power Plant Capacity Rental]:[Proportion of Power Plant Capacity Resulting from the Project]])</f>
        <v>353.63</v>
      </c>
      <c r="J27" s="8">
        <v>751.98</v>
      </c>
    </row>
    <row r="28" spans="1:10" x14ac:dyDescent="0.25">
      <c r="A28" s="51" t="s">
        <v>34</v>
      </c>
      <c r="B28" s="43">
        <v>0.68217944363920402</v>
      </c>
      <c r="C28" s="56">
        <v>1715.95</v>
      </c>
      <c r="D28" s="22">
        <v>675688.24</v>
      </c>
      <c r="E28" s="22">
        <v>495523.72000000003</v>
      </c>
      <c r="F28" s="43">
        <v>544</v>
      </c>
      <c r="G28">
        <v>2</v>
      </c>
      <c r="H28">
        <v>264.47000000000003</v>
      </c>
      <c r="I28">
        <f>SUM(Table2[[#This Row],[Proportion of Power Plant Capacity Rental]:[Proportion of Power Plant Capacity Resulting from the Project]])</f>
        <v>0</v>
      </c>
      <c r="J28" s="8">
        <v>627.85</v>
      </c>
    </row>
    <row r="29" spans="1:10" x14ac:dyDescent="0.25">
      <c r="A29" s="52" t="s">
        <v>35</v>
      </c>
      <c r="B29" s="44">
        <v>0.84241916830348396</v>
      </c>
      <c r="C29" s="57">
        <v>26406.59</v>
      </c>
      <c r="D29" s="8">
        <v>578683.82999999996</v>
      </c>
      <c r="E29" s="8">
        <v>223388.72</v>
      </c>
      <c r="F29" s="44">
        <v>125</v>
      </c>
      <c r="G29">
        <v>3</v>
      </c>
      <c r="H29">
        <v>11.2</v>
      </c>
      <c r="I29">
        <f>SUM(Table2[[#This Row],[Proportion of Power Plant Capacity Rental]:[Proportion of Power Plant Capacity Resulting from the Project]])</f>
        <v>0</v>
      </c>
      <c r="J29" s="8">
        <v>81</v>
      </c>
    </row>
    <row r="30" spans="1:10" x14ac:dyDescent="0.25">
      <c r="A30" s="51" t="s">
        <v>36</v>
      </c>
      <c r="B30" s="43">
        <v>0.86649811437485902</v>
      </c>
      <c r="C30" s="56">
        <v>18233.88</v>
      </c>
      <c r="D30" s="22">
        <v>0</v>
      </c>
      <c r="E30" s="22">
        <v>26076.17</v>
      </c>
      <c r="F30" s="43">
        <v>197</v>
      </c>
      <c r="G30">
        <v>3</v>
      </c>
      <c r="H30">
        <v>0</v>
      </c>
      <c r="I30">
        <f>SUM(Table2[[#This Row],[Proportion of Power Plant Capacity Rental]:[Proportion of Power Plant Capacity Resulting from the Project]])</f>
        <v>0.65</v>
      </c>
      <c r="J30" s="8">
        <v>44.24</v>
      </c>
    </row>
    <row r="31" spans="1:10" x14ac:dyDescent="0.25">
      <c r="A31" s="52" t="s">
        <v>37</v>
      </c>
      <c r="B31" s="44">
        <v>0.86272798359592295</v>
      </c>
      <c r="C31" s="57">
        <v>2622.11</v>
      </c>
      <c r="D31" s="8">
        <v>0</v>
      </c>
      <c r="E31" s="8">
        <v>213.23</v>
      </c>
      <c r="F31" s="44">
        <v>25</v>
      </c>
      <c r="G31">
        <v>1</v>
      </c>
      <c r="H31">
        <v>0</v>
      </c>
      <c r="I31">
        <f>SUM(Table2[[#This Row],[Proportion of Power Plant Capacity Rental]:[Proportion of Power Plant Capacity Resulting from the Project]])</f>
        <v>0.88</v>
      </c>
      <c r="J31" s="8">
        <v>1.78</v>
      </c>
    </row>
    <row r="32" spans="1:10" x14ac:dyDescent="0.25">
      <c r="A32" s="51" t="s">
        <v>38</v>
      </c>
      <c r="B32" s="43">
        <v>0.89030005207278295</v>
      </c>
      <c r="C32" s="56">
        <v>33690.120000000003</v>
      </c>
      <c r="D32" s="22">
        <v>0</v>
      </c>
      <c r="E32" s="22">
        <v>0</v>
      </c>
      <c r="F32" s="43">
        <v>120</v>
      </c>
      <c r="G32">
        <v>3</v>
      </c>
      <c r="H32">
        <v>0</v>
      </c>
      <c r="I32">
        <f>SUM(Table2[[#This Row],[Proportion of Power Plant Capacity Rental]:[Proportion of Power Plant Capacity Resulting from the Project]])</f>
        <v>0.16</v>
      </c>
      <c r="J32" s="13">
        <v>149.79</v>
      </c>
    </row>
    <row r="33" spans="1:10" x14ac:dyDescent="0.25">
      <c r="A33" s="52" t="s">
        <v>39</v>
      </c>
      <c r="B33" s="44">
        <v>0.93283881123234602</v>
      </c>
      <c r="C33" s="57">
        <v>14122.45</v>
      </c>
      <c r="D33" s="8">
        <v>0</v>
      </c>
      <c r="E33" s="8">
        <v>0</v>
      </c>
      <c r="F33" s="44">
        <v>1054</v>
      </c>
      <c r="G33">
        <v>1</v>
      </c>
      <c r="H33">
        <v>0</v>
      </c>
      <c r="I33">
        <f>SUM(Table2[[#This Row],[Proportion of Power Plant Capacity Rental]:[Proportion of Power Plant Capacity Resulting from the Project]])</f>
        <v>0</v>
      </c>
      <c r="J33" s="14">
        <v>16.62</v>
      </c>
    </row>
    <row r="34" spans="1:10" ht="15.75" thickBot="1" x14ac:dyDescent="0.3">
      <c r="A34" s="51" t="s">
        <v>40</v>
      </c>
      <c r="B34" s="45">
        <v>0.87838867253060804</v>
      </c>
      <c r="C34" s="58">
        <v>22419.13</v>
      </c>
      <c r="D34" s="22">
        <v>0</v>
      </c>
      <c r="E34" s="22">
        <v>329.23</v>
      </c>
      <c r="F34" s="47">
        <v>1113</v>
      </c>
      <c r="G34">
        <v>3</v>
      </c>
      <c r="H34">
        <v>0</v>
      </c>
      <c r="I34">
        <f>SUM(Table2[[#This Row],[Proportion of Power Plant Capacity Rental]:[Proportion of Power Plant Capacity Resulting from the Project]])</f>
        <v>0</v>
      </c>
      <c r="J34" s="16">
        <v>1.4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7AB3-44DD-4B69-8A1B-FBE71F0293B2}">
  <dimension ref="A1:Q35"/>
  <sheetViews>
    <sheetView topLeftCell="E1" workbookViewId="0">
      <selection activeCell="Q2" sqref="Q2"/>
    </sheetView>
  </sheetViews>
  <sheetFormatPr defaultRowHeight="15" x14ac:dyDescent="0.25"/>
  <cols>
    <col min="1" max="1" width="10.140625" customWidth="1"/>
    <col min="2" max="2" width="32.42578125" customWidth="1"/>
    <col min="3" max="3" width="17" customWidth="1"/>
    <col min="4" max="4" width="16.42578125" customWidth="1"/>
    <col min="5" max="5" width="13.5703125" customWidth="1"/>
    <col min="6" max="7" width="13.28515625" customWidth="1"/>
    <col min="8" max="8" width="13.5703125" customWidth="1"/>
    <col min="9" max="9" width="17" customWidth="1"/>
    <col min="10" max="10" width="14.5703125" customWidth="1"/>
    <col min="11" max="11" width="13" customWidth="1"/>
    <col min="12" max="12" width="15" customWidth="1"/>
    <col min="13" max="13" width="14.7109375" customWidth="1"/>
    <col min="14" max="14" width="14.28515625" customWidth="1"/>
    <col min="15" max="15" width="13.85546875" customWidth="1"/>
    <col min="16" max="16" width="13.7109375" customWidth="1"/>
  </cols>
  <sheetData>
    <row r="1" spans="1:1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</row>
    <row r="2" spans="1:17" ht="90" x14ac:dyDescent="0.25">
      <c r="A2" s="25" t="s">
        <v>0</v>
      </c>
      <c r="B2" s="26" t="s">
        <v>1</v>
      </c>
      <c r="C2" s="27" t="s">
        <v>41</v>
      </c>
      <c r="D2" s="27" t="s">
        <v>53</v>
      </c>
      <c r="E2" s="27" t="s">
        <v>52</v>
      </c>
      <c r="F2" s="27" t="s">
        <v>42</v>
      </c>
      <c r="G2" s="27" t="s">
        <v>162</v>
      </c>
      <c r="H2" s="27" t="s">
        <v>43</v>
      </c>
      <c r="I2" s="27" t="s">
        <v>44</v>
      </c>
      <c r="J2" s="27" t="s">
        <v>45</v>
      </c>
      <c r="K2" s="27" t="s">
        <v>46</v>
      </c>
      <c r="L2" s="27" t="s">
        <v>47</v>
      </c>
      <c r="M2" s="27" t="s">
        <v>49</v>
      </c>
      <c r="N2" s="27" t="s">
        <v>48</v>
      </c>
      <c r="O2" s="27" t="s">
        <v>50</v>
      </c>
      <c r="P2" s="28" t="s">
        <v>51</v>
      </c>
      <c r="Q2" s="27" t="s">
        <v>95</v>
      </c>
    </row>
    <row r="3" spans="1:17" x14ac:dyDescent="0.25">
      <c r="A3" s="24">
        <v>1</v>
      </c>
      <c r="B3" s="20" t="s">
        <v>8</v>
      </c>
      <c r="C3" s="8"/>
      <c r="D3" s="8">
        <v>0</v>
      </c>
      <c r="E3" s="8">
        <v>45632.639999999999</v>
      </c>
      <c r="F3">
        <v>101.52</v>
      </c>
      <c r="G3">
        <f>SUM(Table2[[#This Row],[Proportion of Power Plant Capacity Rental]:[Proportion of Power Plant Capacity Resulting from the Project]])</f>
        <v>42.49</v>
      </c>
      <c r="H3">
        <v>9</v>
      </c>
      <c r="I3">
        <v>33.49</v>
      </c>
      <c r="J3">
        <v>2140.98</v>
      </c>
      <c r="K3">
        <v>343.37</v>
      </c>
      <c r="L3">
        <v>662</v>
      </c>
      <c r="M3">
        <v>277.82</v>
      </c>
      <c r="N3">
        <v>119.48</v>
      </c>
      <c r="O3">
        <v>139.24</v>
      </c>
      <c r="P3">
        <v>13.25</v>
      </c>
      <c r="Q3" s="4">
        <f>SUM(Table2[[#This Row],[Proportion of Non Renewable Energy]:[Proportion of Renewable Energy]])</f>
        <v>45632.639999999999</v>
      </c>
    </row>
    <row r="4" spans="1:17" x14ac:dyDescent="0.25">
      <c r="A4" s="18">
        <v>2</v>
      </c>
      <c r="B4" s="21" t="s">
        <v>9</v>
      </c>
      <c r="C4" s="8"/>
      <c r="D4" s="8">
        <v>0</v>
      </c>
      <c r="E4" s="8">
        <v>2209.96</v>
      </c>
      <c r="F4">
        <v>3.18</v>
      </c>
      <c r="G4">
        <f>SUM(Table2[[#This Row],[Proportion of Power Plant Capacity Rental]:[Proportion of Power Plant Capacity Resulting from the Project]])</f>
        <v>206.03</v>
      </c>
      <c r="H4">
        <v>0</v>
      </c>
      <c r="I4">
        <v>206.03</v>
      </c>
      <c r="J4">
        <v>6555.63</v>
      </c>
      <c r="K4">
        <v>3282.86</v>
      </c>
      <c r="L4">
        <v>1982.48</v>
      </c>
      <c r="M4">
        <v>624.28</v>
      </c>
      <c r="N4">
        <v>167.44</v>
      </c>
      <c r="O4">
        <v>415.5</v>
      </c>
      <c r="P4">
        <v>206.06</v>
      </c>
      <c r="Q4" s="8">
        <f>SUM(Table2[[#This Row],[Proportion of Non Renewable Energy]:[Proportion of Renewable Energy]])</f>
        <v>2209.96</v>
      </c>
    </row>
    <row r="5" spans="1:17" x14ac:dyDescent="0.25">
      <c r="A5" s="24">
        <v>3</v>
      </c>
      <c r="B5" s="22" t="s">
        <v>10</v>
      </c>
      <c r="C5" s="8"/>
      <c r="D5" s="8">
        <v>0</v>
      </c>
      <c r="E5" s="8">
        <v>8549.08</v>
      </c>
      <c r="F5" s="40">
        <v>17.89</v>
      </c>
      <c r="G5" s="40">
        <f>SUM(Table2[[#This Row],[Proportion of Power Plant Capacity Rental]:[Proportion of Power Plant Capacity Resulting from the Project]])</f>
        <v>68.319999999999993</v>
      </c>
      <c r="H5">
        <v>0</v>
      </c>
      <c r="I5">
        <v>68.319999999999993</v>
      </c>
      <c r="J5">
        <v>1902.89</v>
      </c>
      <c r="K5">
        <v>827.34</v>
      </c>
      <c r="L5">
        <v>766.9</v>
      </c>
      <c r="M5">
        <v>237.01</v>
      </c>
      <c r="N5">
        <v>87.86</v>
      </c>
      <c r="O5">
        <v>98.64</v>
      </c>
      <c r="P5">
        <v>35.25</v>
      </c>
      <c r="Q5" s="8">
        <f>SUM(Table2[[#This Row],[Proportion of Non Renewable Energy]:[Proportion of Renewable Energy]])</f>
        <v>8549.08</v>
      </c>
    </row>
    <row r="6" spans="1:17" x14ac:dyDescent="0.25">
      <c r="A6" s="18">
        <v>4</v>
      </c>
      <c r="B6" s="8" t="s">
        <v>11</v>
      </c>
      <c r="C6" s="8"/>
      <c r="D6" s="8">
        <v>1650.95</v>
      </c>
      <c r="E6" s="8">
        <v>86926.95</v>
      </c>
      <c r="F6" s="40">
        <v>92.55</v>
      </c>
      <c r="G6" s="40">
        <f>SUM(Table2[[#This Row],[Proportion of Power Plant Capacity Rental]:[Proportion of Power Plant Capacity Resulting from the Project]])</f>
        <v>353.34000000000003</v>
      </c>
      <c r="H6">
        <v>59.34</v>
      </c>
      <c r="I6">
        <v>294</v>
      </c>
      <c r="J6">
        <v>3375.08</v>
      </c>
      <c r="K6">
        <v>3399.6</v>
      </c>
      <c r="L6">
        <v>1423.62</v>
      </c>
      <c r="M6">
        <v>335.5</v>
      </c>
      <c r="N6">
        <v>125.02</v>
      </c>
      <c r="O6">
        <v>114.83</v>
      </c>
      <c r="P6">
        <v>42.02</v>
      </c>
      <c r="Q6" s="8">
        <f>SUM(Table2[[#This Row],[Proportion of Non Renewable Energy]:[Proportion of Renewable Energy]])</f>
        <v>88577.9</v>
      </c>
    </row>
    <row r="7" spans="1:17" x14ac:dyDescent="0.25">
      <c r="A7" s="24">
        <v>5</v>
      </c>
      <c r="B7" s="22" t="s">
        <v>12</v>
      </c>
      <c r="C7" s="8"/>
      <c r="D7" s="8">
        <v>0</v>
      </c>
      <c r="E7" s="8">
        <v>115480.15</v>
      </c>
      <c r="F7" s="40">
        <v>113.33</v>
      </c>
      <c r="G7" s="40">
        <f>SUM(Table2[[#This Row],[Proportion of Power Plant Capacity Rental]:[Proportion of Power Plant Capacity Resulting from the Project]])</f>
        <v>24.979999999999997</v>
      </c>
      <c r="H7">
        <v>24.08</v>
      </c>
      <c r="I7">
        <v>0.9</v>
      </c>
      <c r="J7">
        <v>562.29</v>
      </c>
      <c r="K7">
        <v>42.38</v>
      </c>
      <c r="L7">
        <v>333.88</v>
      </c>
      <c r="M7">
        <v>51.37</v>
      </c>
      <c r="N7">
        <v>46.67</v>
      </c>
      <c r="O7">
        <v>23.75</v>
      </c>
      <c r="P7">
        <v>15.74</v>
      </c>
      <c r="Q7" s="8">
        <f>SUM(Table2[[#This Row],[Proportion of Non Renewable Energy]:[Proportion of Renewable Energy]])</f>
        <v>115480.15</v>
      </c>
    </row>
    <row r="8" spans="1:17" x14ac:dyDescent="0.25">
      <c r="A8" s="18">
        <v>6</v>
      </c>
      <c r="B8" s="8" t="s">
        <v>13</v>
      </c>
      <c r="C8" s="8"/>
      <c r="D8" s="8">
        <v>0</v>
      </c>
      <c r="E8" s="8">
        <v>0</v>
      </c>
      <c r="F8">
        <v>0</v>
      </c>
      <c r="G8">
        <f>SUM(Table2[[#This Row],[Proportion of Power Plant Capacity Rental]:[Proportion of Power Plant Capacity Resulting from the Project]])</f>
        <v>0</v>
      </c>
      <c r="H8">
        <v>0</v>
      </c>
      <c r="I8">
        <v>0</v>
      </c>
      <c r="J8">
        <v>3706.75</v>
      </c>
      <c r="K8">
        <v>1102.78</v>
      </c>
      <c r="L8">
        <v>994.34</v>
      </c>
      <c r="M8">
        <v>281.44</v>
      </c>
      <c r="N8">
        <v>128.06</v>
      </c>
      <c r="O8">
        <v>140.55000000000001</v>
      </c>
      <c r="P8">
        <v>159.65</v>
      </c>
      <c r="Q8" s="8">
        <f>SUM(Table2[[#This Row],[Proportion of Non Renewable Energy]:[Proportion of Renewable Energy]])</f>
        <v>0</v>
      </c>
    </row>
    <row r="9" spans="1:17" x14ac:dyDescent="0.25">
      <c r="A9" s="24">
        <v>7</v>
      </c>
      <c r="B9" s="22" t="s">
        <v>14</v>
      </c>
      <c r="C9" s="8"/>
      <c r="D9" s="8">
        <v>472.74</v>
      </c>
      <c r="E9" s="8">
        <v>0</v>
      </c>
      <c r="F9">
        <v>0</v>
      </c>
      <c r="G9">
        <f>SUM(Table2[[#This Row],[Proportion of Power Plant Capacity Rental]:[Proportion of Power Plant Capacity Resulting from the Project]])</f>
        <v>0</v>
      </c>
      <c r="H9">
        <v>0</v>
      </c>
      <c r="I9">
        <v>0</v>
      </c>
      <c r="J9">
        <v>1599.14</v>
      </c>
      <c r="K9">
        <v>197.72</v>
      </c>
      <c r="L9">
        <v>481.4</v>
      </c>
      <c r="M9">
        <v>122.03</v>
      </c>
      <c r="N9">
        <v>56.64</v>
      </c>
      <c r="O9">
        <v>45.36</v>
      </c>
      <c r="P9">
        <v>20.149999999999999</v>
      </c>
      <c r="Q9" s="8">
        <f>SUM(Table2[[#This Row],[Proportion of Non Renewable Energy]:[Proportion of Renewable Energy]])</f>
        <v>472.74</v>
      </c>
    </row>
    <row r="10" spans="1:17" x14ac:dyDescent="0.25">
      <c r="A10" s="18">
        <v>8</v>
      </c>
      <c r="B10" s="8" t="s">
        <v>15</v>
      </c>
      <c r="C10" s="8"/>
      <c r="D10" s="8">
        <v>0</v>
      </c>
      <c r="E10" s="8">
        <v>9051.67</v>
      </c>
      <c r="F10">
        <v>52.23</v>
      </c>
      <c r="G10">
        <f>SUM(Table2[[#This Row],[Proportion of Power Plant Capacity Rental]:[Proportion of Power Plant Capacity Resulting from the Project]])</f>
        <v>16.86</v>
      </c>
      <c r="H10">
        <v>10.36</v>
      </c>
      <c r="I10">
        <v>6.5</v>
      </c>
      <c r="J10">
        <v>856.12</v>
      </c>
      <c r="K10">
        <v>85.38</v>
      </c>
      <c r="L10">
        <v>186.88</v>
      </c>
      <c r="M10">
        <v>55.39</v>
      </c>
      <c r="N10">
        <v>34.85</v>
      </c>
      <c r="O10">
        <v>7.89</v>
      </c>
      <c r="P10">
        <v>3.6</v>
      </c>
      <c r="Q10" s="8">
        <f>SUM(Table2[[#This Row],[Proportion of Non Renewable Energy]:[Proportion of Renewable Energy]])</f>
        <v>9051.67</v>
      </c>
    </row>
    <row r="11" spans="1:17" x14ac:dyDescent="0.25">
      <c r="A11" s="24">
        <v>9</v>
      </c>
      <c r="B11" s="1" t="s">
        <v>16</v>
      </c>
      <c r="C11" s="8"/>
      <c r="D11" s="8">
        <v>708424.43</v>
      </c>
      <c r="E11" s="8">
        <v>134381.68</v>
      </c>
      <c r="F11">
        <v>114.79</v>
      </c>
      <c r="G11">
        <f>SUM(Table2[[#This Row],[Proportion of Power Plant Capacity Rental]:[Proportion of Power Plant Capacity Resulting from the Project]])</f>
        <v>24.979999999999997</v>
      </c>
      <c r="H11">
        <v>24.08</v>
      </c>
      <c r="I11">
        <v>0.9</v>
      </c>
      <c r="J11">
        <v>858.36</v>
      </c>
      <c r="K11">
        <v>349.91</v>
      </c>
      <c r="L11">
        <v>261.62</v>
      </c>
      <c r="M11">
        <v>65.83</v>
      </c>
      <c r="N11">
        <v>39.549999999999997</v>
      </c>
      <c r="O11">
        <v>10.61</v>
      </c>
      <c r="P11">
        <v>7.6</v>
      </c>
      <c r="Q11" s="8">
        <f>SUM(Table2[[#This Row],[Proportion of Non Renewable Energy]:[Proportion of Renewable Energy]])</f>
        <v>842806.1100000001</v>
      </c>
    </row>
    <row r="12" spans="1:17" x14ac:dyDescent="0.25">
      <c r="A12" s="18">
        <v>10</v>
      </c>
      <c r="B12" s="23" t="s">
        <v>17</v>
      </c>
      <c r="C12" s="8"/>
      <c r="D12" s="8">
        <v>0</v>
      </c>
      <c r="E12" s="8">
        <v>792.09</v>
      </c>
      <c r="F12">
        <v>22.74</v>
      </c>
      <c r="G12">
        <f>SUM(Table2[[#This Row],[Proportion of Power Plant Capacity Rental]:[Proportion of Power Plant Capacity Resulting from the Project]])</f>
        <v>190.48</v>
      </c>
      <c r="H12">
        <v>12</v>
      </c>
      <c r="I12">
        <v>178.48</v>
      </c>
      <c r="J12">
        <v>3401.6</v>
      </c>
      <c r="K12">
        <v>1152.53</v>
      </c>
      <c r="L12">
        <v>909.57</v>
      </c>
      <c r="M12">
        <v>302.10000000000002</v>
      </c>
      <c r="N12">
        <v>78.06</v>
      </c>
      <c r="O12">
        <v>132.68</v>
      </c>
      <c r="P12">
        <v>15.31</v>
      </c>
      <c r="Q12" s="8">
        <f>SUM(Table2[[#This Row],[Proportion of Non Renewable Energy]:[Proportion of Renewable Energy]])</f>
        <v>792.09</v>
      </c>
    </row>
    <row r="13" spans="1:17" x14ac:dyDescent="0.25">
      <c r="A13" s="24">
        <v>11</v>
      </c>
      <c r="B13" s="1" t="s">
        <v>18</v>
      </c>
      <c r="C13" s="8"/>
      <c r="D13" s="8">
        <v>0</v>
      </c>
      <c r="E13" s="8">
        <v>55927.33</v>
      </c>
      <c r="F13">
        <v>5.22</v>
      </c>
      <c r="G13">
        <f>SUM(Table2[[#This Row],[Proportion of Power Plant Capacity Rental]:[Proportion of Power Plant Capacity Resulting from the Project]])</f>
        <v>117.86</v>
      </c>
      <c r="H13">
        <v>0</v>
      </c>
      <c r="I13">
        <v>117.86</v>
      </c>
      <c r="J13">
        <v>2202.41</v>
      </c>
      <c r="K13">
        <v>286</v>
      </c>
      <c r="L13">
        <v>748.81</v>
      </c>
      <c r="M13">
        <v>175.77</v>
      </c>
      <c r="N13">
        <v>89.67</v>
      </c>
      <c r="O13">
        <v>46.99</v>
      </c>
      <c r="P13">
        <v>10.220000000000001</v>
      </c>
      <c r="Q13" s="8">
        <f>SUM(Table2[[#This Row],[Proportion of Non Renewable Energy]:[Proportion of Renewable Energy]])</f>
        <v>55927.33</v>
      </c>
    </row>
    <row r="14" spans="1:17" x14ac:dyDescent="0.25">
      <c r="A14" s="18">
        <v>12</v>
      </c>
      <c r="B14" s="8" t="s">
        <v>19</v>
      </c>
      <c r="C14" s="8"/>
      <c r="D14" s="8">
        <v>0</v>
      </c>
      <c r="E14" s="8">
        <v>3629.6099999999997</v>
      </c>
      <c r="F14">
        <v>11.09</v>
      </c>
      <c r="G14">
        <f>SUM(Table2[[#This Row],[Proportion of Power Plant Capacity Rental]:[Proportion of Power Plant Capacity Resulting from the Project]])</f>
        <v>44.92</v>
      </c>
      <c r="H14">
        <v>4</v>
      </c>
      <c r="I14">
        <v>40.92</v>
      </c>
      <c r="J14">
        <v>2081.6999999999998</v>
      </c>
      <c r="K14">
        <v>798.45</v>
      </c>
      <c r="L14">
        <v>697.86</v>
      </c>
      <c r="M14">
        <v>192.25</v>
      </c>
      <c r="N14">
        <v>100.07</v>
      </c>
      <c r="O14">
        <v>68.89</v>
      </c>
      <c r="P14">
        <v>32.94</v>
      </c>
      <c r="Q14" s="8">
        <f>SUM(Table2[[#This Row],[Proportion of Non Renewable Energy]:[Proportion of Renewable Energy]])</f>
        <v>3629.6099999999997</v>
      </c>
    </row>
    <row r="15" spans="1:17" x14ac:dyDescent="0.25">
      <c r="A15" s="24">
        <v>13</v>
      </c>
      <c r="B15" s="22" t="s">
        <v>20</v>
      </c>
      <c r="C15" s="8"/>
      <c r="D15" s="8">
        <v>0</v>
      </c>
      <c r="E15" s="8">
        <v>10496.08</v>
      </c>
      <c r="F15">
        <v>1.9</v>
      </c>
      <c r="G15">
        <f>SUM(Table2[[#This Row],[Proportion of Power Plant Capacity Rental]:[Proportion of Power Plant Capacity Resulting from the Project]])</f>
        <v>48.2</v>
      </c>
      <c r="H15">
        <v>0</v>
      </c>
      <c r="I15">
        <v>48.2</v>
      </c>
      <c r="J15">
        <v>1178.77</v>
      </c>
      <c r="K15">
        <v>191.64</v>
      </c>
      <c r="L15">
        <v>405.3</v>
      </c>
      <c r="M15">
        <v>98.98</v>
      </c>
      <c r="N15">
        <v>72.25</v>
      </c>
      <c r="O15">
        <v>24.54</v>
      </c>
      <c r="P15">
        <v>7.29</v>
      </c>
      <c r="Q15" s="8">
        <f>SUM(Table2[[#This Row],[Proportion of Non Renewable Energy]:[Proportion of Renewable Energy]])</f>
        <v>10496.08</v>
      </c>
    </row>
    <row r="16" spans="1:17" x14ac:dyDescent="0.25">
      <c r="A16" s="18">
        <v>14</v>
      </c>
      <c r="B16" s="8" t="s">
        <v>21</v>
      </c>
      <c r="C16" s="8"/>
      <c r="D16" s="8">
        <v>0</v>
      </c>
      <c r="E16" s="8">
        <v>16976.23</v>
      </c>
      <c r="F16">
        <v>28.26</v>
      </c>
      <c r="G16">
        <f>SUM(Table2[[#This Row],[Proportion of Power Plant Capacity Rental]:[Proportion of Power Plant Capacity Resulting from the Project]])</f>
        <v>118.8</v>
      </c>
      <c r="H16">
        <v>30.8</v>
      </c>
      <c r="I16">
        <v>88</v>
      </c>
      <c r="J16">
        <v>3000.25</v>
      </c>
      <c r="K16">
        <v>1293.05</v>
      </c>
      <c r="L16">
        <v>1313.28</v>
      </c>
      <c r="M16">
        <v>280.14</v>
      </c>
      <c r="N16">
        <v>216.53</v>
      </c>
      <c r="O16">
        <v>56.96</v>
      </c>
      <c r="P16">
        <v>54.8</v>
      </c>
      <c r="Q16" s="8">
        <f>SUM(Table2[[#This Row],[Proportion of Non Renewable Energy]:[Proportion of Renewable Energy]])</f>
        <v>16976.23</v>
      </c>
    </row>
    <row r="17" spans="1:17" x14ac:dyDescent="0.25">
      <c r="A17" s="24">
        <v>15</v>
      </c>
      <c r="B17" s="22" t="s">
        <v>22</v>
      </c>
      <c r="C17" s="8"/>
      <c r="D17" s="8">
        <v>0</v>
      </c>
      <c r="E17" s="8">
        <v>32479.22</v>
      </c>
      <c r="F17">
        <v>45.04</v>
      </c>
      <c r="G17">
        <f>SUM(Table2[[#This Row],[Proportion of Power Plant Capacity Rental]:[Proportion of Power Plant Capacity Resulting from the Project]])</f>
        <v>6.5</v>
      </c>
      <c r="H17">
        <v>0</v>
      </c>
      <c r="I17">
        <v>6.5</v>
      </c>
      <c r="J17">
        <v>1053.42</v>
      </c>
      <c r="K17">
        <v>415.37</v>
      </c>
      <c r="L17">
        <v>465.24</v>
      </c>
      <c r="M17">
        <v>111.94</v>
      </c>
      <c r="N17">
        <v>54.55</v>
      </c>
      <c r="O17">
        <v>38.619999999999997</v>
      </c>
      <c r="P17">
        <v>25.05</v>
      </c>
      <c r="Q17" s="8">
        <f>SUM(Table2[[#This Row],[Proportion of Non Renewable Energy]:[Proportion of Renewable Energy]])</f>
        <v>32479.22</v>
      </c>
    </row>
    <row r="18" spans="1:17" x14ac:dyDescent="0.25">
      <c r="A18" s="18">
        <v>16</v>
      </c>
      <c r="B18" s="8" t="s">
        <v>23</v>
      </c>
      <c r="C18" s="8"/>
      <c r="D18" s="8">
        <v>0</v>
      </c>
      <c r="E18" s="8">
        <v>151147.06</v>
      </c>
      <c r="F18">
        <v>146.13999999999999</v>
      </c>
      <c r="G18">
        <f>SUM(Table2[[#This Row],[Proportion of Power Plant Capacity Rental]:[Proportion of Power Plant Capacity Resulting from the Project]])</f>
        <v>157.19999999999999</v>
      </c>
      <c r="H18">
        <v>68.75</v>
      </c>
      <c r="I18">
        <v>88.45</v>
      </c>
      <c r="J18">
        <v>1165.75</v>
      </c>
      <c r="K18">
        <v>164.34</v>
      </c>
      <c r="L18">
        <v>265.39</v>
      </c>
      <c r="M18">
        <v>93.15</v>
      </c>
      <c r="N18">
        <v>65.91</v>
      </c>
      <c r="O18">
        <v>29.01</v>
      </c>
      <c r="P18">
        <v>21.09</v>
      </c>
      <c r="Q18" s="8">
        <f>SUM(Table2[[#This Row],[Proportion of Non Renewable Energy]:[Proportion of Renewable Energy]])</f>
        <v>151147.06</v>
      </c>
    </row>
    <row r="19" spans="1:17" x14ac:dyDescent="0.25">
      <c r="A19" s="24">
        <v>17</v>
      </c>
      <c r="B19" s="22" t="s">
        <v>24</v>
      </c>
      <c r="C19" s="8"/>
      <c r="D19" s="8">
        <v>0</v>
      </c>
      <c r="E19" s="8">
        <v>0</v>
      </c>
      <c r="F19">
        <v>45.04</v>
      </c>
      <c r="G19">
        <f>SUM(Table2[[#This Row],[Proportion of Power Plant Capacity Rental]:[Proportion of Power Plant Capacity Resulting from the Project]])</f>
        <v>16.86</v>
      </c>
      <c r="H19">
        <v>10.36</v>
      </c>
      <c r="I19">
        <v>6.5</v>
      </c>
      <c r="J19">
        <v>473.32</v>
      </c>
      <c r="K19">
        <v>84.58</v>
      </c>
      <c r="L19">
        <v>114.2</v>
      </c>
      <c r="M19">
        <v>41.6</v>
      </c>
      <c r="N19">
        <v>39.58</v>
      </c>
      <c r="O19">
        <v>10.83</v>
      </c>
      <c r="P19">
        <v>6.82</v>
      </c>
      <c r="Q19" s="8">
        <f>SUM(Table2[[#This Row],[Proportion of Non Renewable Energy]:[Proportion of Renewable Energy]])</f>
        <v>0</v>
      </c>
    </row>
    <row r="20" spans="1:17" x14ac:dyDescent="0.25">
      <c r="A20" s="18">
        <v>18</v>
      </c>
      <c r="B20" s="8" t="s">
        <v>25</v>
      </c>
      <c r="C20" s="8"/>
      <c r="D20" s="8">
        <v>0</v>
      </c>
      <c r="E20" s="8">
        <v>27822.1</v>
      </c>
      <c r="F20">
        <v>0.18</v>
      </c>
      <c r="G20">
        <f>SUM(Table2[[#This Row],[Proportion of Power Plant Capacity Rental]:[Proportion of Power Plant Capacity Resulting from the Project]])</f>
        <v>6.54</v>
      </c>
      <c r="H20">
        <v>0</v>
      </c>
      <c r="I20">
        <v>6.54</v>
      </c>
      <c r="J20">
        <v>3815.9</v>
      </c>
      <c r="K20">
        <v>2732.84</v>
      </c>
      <c r="L20">
        <v>1411.27</v>
      </c>
      <c r="M20">
        <v>421.73</v>
      </c>
      <c r="N20">
        <v>177.68</v>
      </c>
      <c r="O20">
        <v>130.66999999999999</v>
      </c>
      <c r="P20">
        <v>42.46</v>
      </c>
      <c r="Q20" s="8">
        <f>SUM(Table2[[#This Row],[Proportion of Non Renewable Energy]:[Proportion of Renewable Energy]])</f>
        <v>27822.1</v>
      </c>
    </row>
    <row r="21" spans="1:17" x14ac:dyDescent="0.25">
      <c r="A21" s="24">
        <v>19</v>
      </c>
      <c r="B21" s="22" t="s">
        <v>26</v>
      </c>
      <c r="C21" s="8"/>
      <c r="D21" s="8">
        <v>0</v>
      </c>
      <c r="E21" s="8">
        <v>18156.11</v>
      </c>
      <c r="F21">
        <v>415.9</v>
      </c>
      <c r="G21">
        <f>SUM(Table2[[#This Row],[Proportion of Power Plant Capacity Rental]:[Proportion of Power Plant Capacity Resulting from the Project]])</f>
        <v>264.69</v>
      </c>
      <c r="H21">
        <v>127</v>
      </c>
      <c r="I21">
        <v>137.69</v>
      </c>
      <c r="J21">
        <v>939.03</v>
      </c>
      <c r="K21">
        <v>235.89</v>
      </c>
      <c r="L21">
        <v>276.44</v>
      </c>
      <c r="M21">
        <v>73.98</v>
      </c>
      <c r="N21">
        <v>54.79</v>
      </c>
      <c r="O21">
        <v>23.1</v>
      </c>
      <c r="P21">
        <v>11.25</v>
      </c>
      <c r="Q21" s="8">
        <f>SUM(Table2[[#This Row],[Proportion of Non Renewable Energy]:[Proportion of Renewable Energy]])</f>
        <v>18156.11</v>
      </c>
    </row>
    <row r="22" spans="1:17" x14ac:dyDescent="0.25">
      <c r="A22" s="18">
        <v>20</v>
      </c>
      <c r="B22" s="8" t="s">
        <v>27</v>
      </c>
      <c r="C22" s="8"/>
      <c r="D22" s="8">
        <v>0</v>
      </c>
      <c r="E22" s="8">
        <v>9665.98</v>
      </c>
      <c r="F22">
        <v>268.12</v>
      </c>
      <c r="G22">
        <f>SUM(Table2[[#This Row],[Proportion of Power Plant Capacity Rental]:[Proportion of Power Plant Capacity Resulting from the Project]])</f>
        <v>146.43</v>
      </c>
      <c r="H22">
        <v>97.4</v>
      </c>
      <c r="I22">
        <v>49.03</v>
      </c>
      <c r="J22">
        <v>369.75</v>
      </c>
      <c r="K22">
        <v>49.31</v>
      </c>
      <c r="L22">
        <v>82.84</v>
      </c>
      <c r="M22">
        <v>31.93</v>
      </c>
      <c r="N22">
        <v>25.14</v>
      </c>
      <c r="O22">
        <v>7.65</v>
      </c>
      <c r="P22">
        <v>3.88</v>
      </c>
      <c r="Q22" s="8">
        <f>SUM(Table2[[#This Row],[Proportion of Non Renewable Energy]:[Proportion of Renewable Energy]])</f>
        <v>9665.98</v>
      </c>
    </row>
    <row r="23" spans="1:17" x14ac:dyDescent="0.25">
      <c r="A23" s="24">
        <v>21</v>
      </c>
      <c r="B23" s="22" t="s">
        <v>28</v>
      </c>
      <c r="C23" s="8"/>
      <c r="D23" s="8">
        <v>0</v>
      </c>
      <c r="E23" s="8">
        <v>0</v>
      </c>
      <c r="F23">
        <v>4469.18</v>
      </c>
      <c r="G23">
        <f>SUM(Table2[[#This Row],[Proportion of Power Plant Capacity Rental]:[Proportion of Power Plant Capacity Resulting from the Project]])</f>
        <v>0</v>
      </c>
      <c r="H23">
        <v>0</v>
      </c>
      <c r="I23">
        <v>0</v>
      </c>
      <c r="J23">
        <v>400.91</v>
      </c>
      <c r="K23">
        <v>11.85</v>
      </c>
      <c r="L23">
        <v>144.56</v>
      </c>
      <c r="M23">
        <v>41.01</v>
      </c>
      <c r="N23">
        <v>52.11</v>
      </c>
      <c r="O23">
        <v>7.29</v>
      </c>
      <c r="P23">
        <v>12.37</v>
      </c>
      <c r="Q23" s="8">
        <f>SUM(Table2[[#This Row],[Proportion of Non Renewable Energy]:[Proportion of Renewable Energy]])</f>
        <v>0</v>
      </c>
    </row>
    <row r="24" spans="1:17" x14ac:dyDescent="0.25">
      <c r="A24" s="18">
        <v>22</v>
      </c>
      <c r="B24" s="8" t="s">
        <v>29</v>
      </c>
      <c r="C24" s="8"/>
      <c r="D24" s="8">
        <v>111870.91</v>
      </c>
      <c r="E24" s="8">
        <v>295679.26</v>
      </c>
      <c r="F24">
        <v>1518</v>
      </c>
      <c r="G24">
        <f>SUM(Table2[[#This Row],[Proportion of Power Plant Capacity Rental]:[Proportion of Power Plant Capacity Resulting from the Project]])</f>
        <v>0</v>
      </c>
      <c r="H24">
        <v>0</v>
      </c>
      <c r="I24">
        <v>0</v>
      </c>
      <c r="J24">
        <v>561.88</v>
      </c>
      <c r="K24">
        <v>544.72</v>
      </c>
      <c r="L24">
        <v>129.78</v>
      </c>
      <c r="M24">
        <v>39.049999999999997</v>
      </c>
      <c r="N24">
        <v>44.84</v>
      </c>
      <c r="O24">
        <v>10.88</v>
      </c>
      <c r="P24">
        <v>25.46</v>
      </c>
      <c r="Q24" s="8">
        <f>SUM(Table2[[#This Row],[Proportion of Non Renewable Energy]:[Proportion of Renewable Energy]])</f>
        <v>407550.17000000004</v>
      </c>
    </row>
    <row r="25" spans="1:17" x14ac:dyDescent="0.25">
      <c r="A25" s="24">
        <v>23</v>
      </c>
      <c r="B25" s="22" t="s">
        <v>30</v>
      </c>
      <c r="C25" s="8"/>
      <c r="D25" s="8">
        <v>0</v>
      </c>
      <c r="E25" s="8">
        <v>113907.62</v>
      </c>
      <c r="F25">
        <v>849.38</v>
      </c>
      <c r="G25">
        <f>SUM(Table2[[#This Row],[Proportion of Power Plant Capacity Rental]:[Proportion of Power Plant Capacity Resulting from the Project]])</f>
        <v>352.25</v>
      </c>
      <c r="H25">
        <v>246.85</v>
      </c>
      <c r="I25">
        <v>105.4</v>
      </c>
      <c r="J25">
        <v>856.5</v>
      </c>
      <c r="K25">
        <v>12.44</v>
      </c>
      <c r="L25">
        <v>356.77</v>
      </c>
      <c r="M25">
        <v>92.78</v>
      </c>
      <c r="N25">
        <v>99.93</v>
      </c>
      <c r="O25">
        <v>11.63</v>
      </c>
      <c r="P25">
        <v>5.85</v>
      </c>
      <c r="Q25" s="8">
        <f>SUM(Table2[[#This Row],[Proportion of Non Renewable Energy]:[Proportion of Renewable Energy]])</f>
        <v>113907.62</v>
      </c>
    </row>
    <row r="26" spans="1:17" x14ac:dyDescent="0.25">
      <c r="A26" s="18">
        <v>24</v>
      </c>
      <c r="B26" s="8" t="s">
        <v>31</v>
      </c>
      <c r="C26" s="8"/>
      <c r="D26" s="8">
        <v>0</v>
      </c>
      <c r="E26" s="8">
        <v>161432.03</v>
      </c>
      <c r="F26">
        <v>542.16999999999996</v>
      </c>
      <c r="G26">
        <f>SUM(Table2[[#This Row],[Proportion of Power Plant Capacity Rental]:[Proportion of Power Plant Capacity Resulting from the Project]])</f>
        <v>212.76999999999998</v>
      </c>
      <c r="H26">
        <v>102.32</v>
      </c>
      <c r="I26">
        <v>110.45</v>
      </c>
      <c r="J26">
        <v>426.31</v>
      </c>
      <c r="K26">
        <v>14.05</v>
      </c>
      <c r="L26">
        <v>172.73</v>
      </c>
      <c r="M26">
        <v>46.46</v>
      </c>
      <c r="N26">
        <v>52.17</v>
      </c>
      <c r="O26">
        <v>6.18</v>
      </c>
      <c r="P26">
        <v>2.73</v>
      </c>
      <c r="Q26" s="8">
        <f>SUM(Table2[[#This Row],[Proportion of Non Renewable Energy]:[Proportion of Renewable Energy]])</f>
        <v>161432.03</v>
      </c>
    </row>
    <row r="27" spans="1:17" x14ac:dyDescent="0.25">
      <c r="A27" s="24">
        <v>25</v>
      </c>
      <c r="B27" s="22" t="s">
        <v>32</v>
      </c>
      <c r="C27" s="8"/>
      <c r="D27" s="8">
        <v>72605.3</v>
      </c>
      <c r="E27" s="8">
        <v>356165.43</v>
      </c>
      <c r="F27">
        <v>523.21</v>
      </c>
      <c r="G27">
        <f>SUM(Table2[[#This Row],[Proportion of Power Plant Capacity Rental]:[Proportion of Power Plant Capacity Resulting from the Project]])</f>
        <v>353.63</v>
      </c>
      <c r="H27">
        <v>217.38</v>
      </c>
      <c r="I27">
        <v>136.25</v>
      </c>
      <c r="J27">
        <v>3173.66</v>
      </c>
      <c r="K27">
        <v>227.35</v>
      </c>
      <c r="L27">
        <v>3389.04</v>
      </c>
      <c r="M27">
        <v>238.95</v>
      </c>
      <c r="N27">
        <v>106.72</v>
      </c>
      <c r="O27">
        <v>60.66</v>
      </c>
      <c r="P27">
        <v>104.98</v>
      </c>
      <c r="Q27" s="8">
        <f>SUM(Table2[[#This Row],[Proportion of Non Renewable Energy]:[Proportion of Renewable Energy]])</f>
        <v>428770.73</v>
      </c>
    </row>
    <row r="28" spans="1:17" x14ac:dyDescent="0.25">
      <c r="A28" s="18">
        <v>26</v>
      </c>
      <c r="B28" s="8" t="s">
        <v>33</v>
      </c>
      <c r="C28" s="8"/>
      <c r="D28" s="8">
        <v>0</v>
      </c>
      <c r="E28" s="8">
        <v>0</v>
      </c>
      <c r="F28">
        <v>796.25</v>
      </c>
      <c r="G28">
        <f>SUM(Table2[[#This Row],[Proportion of Power Plant Capacity Rental]:[Proportion of Power Plant Capacity Resulting from the Project]])</f>
        <v>0</v>
      </c>
      <c r="H28">
        <v>0</v>
      </c>
      <c r="I28">
        <v>0</v>
      </c>
      <c r="J28">
        <v>1786.33</v>
      </c>
      <c r="K28">
        <v>282.12</v>
      </c>
      <c r="L28">
        <v>510.53</v>
      </c>
      <c r="M28">
        <v>140.58000000000001</v>
      </c>
      <c r="N28">
        <v>54.43</v>
      </c>
      <c r="O28">
        <v>55.42</v>
      </c>
      <c r="P28">
        <v>23.72</v>
      </c>
      <c r="Q28" s="8">
        <f>SUM(Table2[[#This Row],[Proportion of Non Renewable Energy]:[Proportion of Renewable Energy]])</f>
        <v>0</v>
      </c>
    </row>
    <row r="29" spans="1:17" x14ac:dyDescent="0.25">
      <c r="A29" s="24">
        <v>27</v>
      </c>
      <c r="B29" s="22" t="s">
        <v>34</v>
      </c>
      <c r="C29" s="8"/>
      <c r="D29" s="8">
        <v>675688.24</v>
      </c>
      <c r="E29" s="8">
        <v>495523.72000000003</v>
      </c>
      <c r="F29">
        <v>264.47000000000003</v>
      </c>
      <c r="G29">
        <f>SUM(Table2[[#This Row],[Proportion of Power Plant Capacity Rental]:[Proportion of Power Plant Capacity Resulting from the Project]])</f>
        <v>0</v>
      </c>
      <c r="H29">
        <v>0</v>
      </c>
      <c r="I29">
        <v>0</v>
      </c>
      <c r="J29">
        <v>897.05</v>
      </c>
      <c r="K29">
        <v>42.5</v>
      </c>
      <c r="L29">
        <v>317.42</v>
      </c>
      <c r="M29">
        <v>97.13</v>
      </c>
      <c r="N29">
        <v>58.05</v>
      </c>
      <c r="O29">
        <v>18.13</v>
      </c>
      <c r="P29">
        <v>23.86</v>
      </c>
      <c r="Q29" s="8">
        <f>SUM(Table2[[#This Row],[Proportion of Non Renewable Energy]:[Proportion of Renewable Energy]])</f>
        <v>1171211.96</v>
      </c>
    </row>
    <row r="30" spans="1:17" x14ac:dyDescent="0.25">
      <c r="A30" s="18">
        <v>28</v>
      </c>
      <c r="B30" s="8" t="s">
        <v>35</v>
      </c>
      <c r="C30" s="8"/>
      <c r="D30" s="8">
        <v>578683.82999999996</v>
      </c>
      <c r="E30" s="8">
        <v>223388.72</v>
      </c>
      <c r="F30">
        <v>11.2</v>
      </c>
      <c r="G30">
        <f>SUM(Table2[[#This Row],[Proportion of Power Plant Capacity Rental]:[Proportion of Power Plant Capacity Resulting from the Project]])</f>
        <v>0.65</v>
      </c>
      <c r="H30">
        <v>0</v>
      </c>
      <c r="I30">
        <v>0.65</v>
      </c>
      <c r="J30">
        <v>17159.72</v>
      </c>
      <c r="K30">
        <v>17782.669999999998</v>
      </c>
      <c r="L30">
        <v>6187.32</v>
      </c>
      <c r="M30">
        <v>1894.32</v>
      </c>
      <c r="N30">
        <v>497.11</v>
      </c>
      <c r="O30">
        <v>568.46</v>
      </c>
      <c r="P30">
        <v>222.23</v>
      </c>
      <c r="Q30" s="8">
        <f>SUM(Table2[[#This Row],[Proportion of Non Renewable Energy]:[Proportion of Renewable Energy]])</f>
        <v>802072.54999999993</v>
      </c>
    </row>
    <row r="31" spans="1:17" x14ac:dyDescent="0.25">
      <c r="A31" s="24">
        <v>29</v>
      </c>
      <c r="B31" s="22" t="s">
        <v>36</v>
      </c>
      <c r="C31" s="8"/>
      <c r="D31" s="8">
        <v>0</v>
      </c>
      <c r="E31" s="8">
        <v>26076.17</v>
      </c>
      <c r="F31">
        <v>0</v>
      </c>
      <c r="G31">
        <f>SUM(Table2[[#This Row],[Proportion of Power Plant Capacity Rental]:[Proportion of Power Plant Capacity Resulting from the Project]])</f>
        <v>0.88</v>
      </c>
      <c r="H31">
        <v>0</v>
      </c>
      <c r="I31">
        <v>0.88</v>
      </c>
      <c r="J31">
        <v>14545.2</v>
      </c>
      <c r="K31">
        <v>8812.11</v>
      </c>
      <c r="L31">
        <v>4368.29</v>
      </c>
      <c r="M31">
        <v>1574.99</v>
      </c>
      <c r="N31">
        <v>346.74</v>
      </c>
      <c r="O31">
        <v>487.4</v>
      </c>
      <c r="P31">
        <v>256.69</v>
      </c>
      <c r="Q31" s="8">
        <f>SUM(Table2[[#This Row],[Proportion of Non Renewable Energy]:[Proportion of Renewable Energy]])</f>
        <v>26076.17</v>
      </c>
    </row>
    <row r="32" spans="1:17" x14ac:dyDescent="0.25">
      <c r="A32" s="18">
        <v>30</v>
      </c>
      <c r="B32" s="8" t="s">
        <v>37</v>
      </c>
      <c r="C32" s="8"/>
      <c r="D32" s="8">
        <v>0</v>
      </c>
      <c r="E32" s="8">
        <v>213.23</v>
      </c>
      <c r="F32">
        <v>0</v>
      </c>
      <c r="G32">
        <f>SUM(Table2[[#This Row],[Proportion of Power Plant Capacity Rental]:[Proportion of Power Plant Capacity Resulting from the Project]])</f>
        <v>0.16</v>
      </c>
      <c r="H32">
        <v>0</v>
      </c>
      <c r="I32">
        <v>0.16</v>
      </c>
      <c r="J32">
        <v>2095.5300000000002</v>
      </c>
      <c r="K32">
        <v>282.70999999999998</v>
      </c>
      <c r="L32">
        <v>993.06</v>
      </c>
      <c r="M32">
        <v>361.02</v>
      </c>
      <c r="N32">
        <v>86.89</v>
      </c>
      <c r="O32">
        <v>67.25</v>
      </c>
      <c r="P32">
        <v>4.72</v>
      </c>
      <c r="Q32" s="8">
        <f>SUM(Table2[[#This Row],[Proportion of Non Renewable Energy]:[Proportion of Renewable Energy]])</f>
        <v>213.23</v>
      </c>
    </row>
    <row r="33" spans="1:17" x14ac:dyDescent="0.25">
      <c r="A33" s="24">
        <v>31</v>
      </c>
      <c r="B33" s="22" t="s">
        <v>38</v>
      </c>
      <c r="C33" s="8"/>
      <c r="D33" s="8">
        <v>0</v>
      </c>
      <c r="E33" s="8">
        <v>0</v>
      </c>
      <c r="F33">
        <v>0</v>
      </c>
      <c r="G33">
        <f>SUM(Table2[[#This Row],[Proportion of Power Plant Capacity Rental]:[Proportion of Power Plant Capacity Resulting from the Project]])</f>
        <v>0</v>
      </c>
      <c r="H33">
        <v>0</v>
      </c>
      <c r="I33">
        <v>0</v>
      </c>
      <c r="J33">
        <v>22917.83</v>
      </c>
      <c r="K33">
        <v>25576.57</v>
      </c>
      <c r="L33">
        <v>9589.85</v>
      </c>
      <c r="M33">
        <v>1929.35</v>
      </c>
      <c r="N33">
        <v>559.61</v>
      </c>
      <c r="O33">
        <v>373.69</v>
      </c>
      <c r="P33">
        <v>690.57</v>
      </c>
      <c r="Q33" s="8">
        <f>SUM(Table2[[#This Row],[Proportion of Non Renewable Energy]:[Proportion of Renewable Energy]])</f>
        <v>0</v>
      </c>
    </row>
    <row r="34" spans="1:17" x14ac:dyDescent="0.25">
      <c r="A34" s="18">
        <v>32</v>
      </c>
      <c r="B34" s="8" t="s">
        <v>39</v>
      </c>
      <c r="C34" s="8"/>
      <c r="D34" s="8">
        <v>0</v>
      </c>
      <c r="E34" s="8">
        <v>0</v>
      </c>
      <c r="F34">
        <v>0</v>
      </c>
      <c r="G34">
        <f>SUM(Table2[[#This Row],[Proportion of Power Plant Capacity Rental]:[Proportion of Power Plant Capacity Resulting from the Project]])</f>
        <v>0</v>
      </c>
      <c r="H34">
        <v>0</v>
      </c>
      <c r="I34">
        <v>0</v>
      </c>
      <c r="J34">
        <v>6847.28</v>
      </c>
      <c r="K34">
        <v>16505.490000000002</v>
      </c>
      <c r="L34">
        <v>3880.7</v>
      </c>
      <c r="M34">
        <v>506.18</v>
      </c>
      <c r="N34">
        <v>173.41</v>
      </c>
      <c r="O34">
        <v>84.19</v>
      </c>
      <c r="P34">
        <v>399.21</v>
      </c>
      <c r="Q34" s="8">
        <f>SUM(Table2[[#This Row],[Proportion of Non Renewable Energy]:[Proportion of Renewable Energy]])</f>
        <v>0</v>
      </c>
    </row>
    <row r="35" spans="1:17" x14ac:dyDescent="0.25">
      <c r="A35" s="29">
        <v>33</v>
      </c>
      <c r="B35" s="30" t="s">
        <v>40</v>
      </c>
      <c r="C35" s="15"/>
      <c r="D35" s="15">
        <v>0</v>
      </c>
      <c r="E35" s="15">
        <v>329.23</v>
      </c>
      <c r="F35">
        <v>0</v>
      </c>
      <c r="G35">
        <f>SUM(Table2[[#This Row],[Proportion of Power Plant Capacity Rental]:[Proportion of Power Plant Capacity Resulting from the Project]])</f>
        <v>0</v>
      </c>
      <c r="H35">
        <v>0</v>
      </c>
      <c r="I35">
        <v>0</v>
      </c>
      <c r="J35">
        <v>16413.87</v>
      </c>
      <c r="K35">
        <v>3915.9</v>
      </c>
      <c r="L35">
        <v>13807.54</v>
      </c>
      <c r="M35">
        <v>1742.43</v>
      </c>
      <c r="N35">
        <v>1452.01</v>
      </c>
      <c r="O35">
        <v>198.1</v>
      </c>
      <c r="P35">
        <v>668.52</v>
      </c>
      <c r="Q35" s="15">
        <f>SUM(Table2[[#This Row],[Proportion of Non Renewable Energy]:[Proportion of Renewable Energy]])</f>
        <v>329.23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FF7E-9B09-41D3-B272-4503EFD1DE6E}">
  <dimension ref="A1:B34"/>
  <sheetViews>
    <sheetView topLeftCell="A18" workbookViewId="0">
      <selection activeCell="B2" sqref="B2:B34"/>
    </sheetView>
  </sheetViews>
  <sheetFormatPr defaultRowHeight="15" x14ac:dyDescent="0.25"/>
  <sheetData>
    <row r="1" spans="1:2" ht="15.75" thickBot="1" x14ac:dyDescent="0.3">
      <c r="A1" s="55" t="s">
        <v>163</v>
      </c>
    </row>
    <row r="2" spans="1:2" x14ac:dyDescent="0.25">
      <c r="A2" s="43">
        <v>0.91678311489514197</v>
      </c>
      <c r="B2" s="56">
        <v>2323.4299999999998</v>
      </c>
    </row>
    <row r="3" spans="1:2" x14ac:dyDescent="0.25">
      <c r="A3" s="44">
        <v>0.93252917071270303</v>
      </c>
      <c r="B3" s="57">
        <v>7868.06</v>
      </c>
    </row>
    <row r="4" spans="1:2" x14ac:dyDescent="0.25">
      <c r="A4" s="43">
        <v>0.90884826062955004</v>
      </c>
      <c r="B4" s="56">
        <v>2569.11</v>
      </c>
    </row>
    <row r="5" spans="1:2" x14ac:dyDescent="0.25">
      <c r="A5" s="44">
        <v>0.94747684342246996</v>
      </c>
      <c r="B5" s="57">
        <v>4509.1499999999996</v>
      </c>
    </row>
    <row r="6" spans="1:2" x14ac:dyDescent="0.25">
      <c r="A6" s="43">
        <v>0.91972281763795405</v>
      </c>
      <c r="B6" s="56">
        <v>761.35</v>
      </c>
    </row>
    <row r="7" spans="1:2" x14ac:dyDescent="0.25">
      <c r="A7" s="44">
        <v>0.93234074355570096</v>
      </c>
      <c r="B7" s="57">
        <v>4032.51</v>
      </c>
    </row>
    <row r="8" spans="1:2" x14ac:dyDescent="0.25">
      <c r="A8" s="43">
        <v>0.88648983082483901</v>
      </c>
      <c r="B8" s="56">
        <v>1889.14</v>
      </c>
    </row>
    <row r="9" spans="1:2" x14ac:dyDescent="0.25">
      <c r="A9" s="44">
        <v>0.90775655431237101</v>
      </c>
      <c r="B9" s="57">
        <v>853.99</v>
      </c>
    </row>
    <row r="10" spans="1:2" x14ac:dyDescent="0.25">
      <c r="A10" s="43">
        <v>0.89222703556384297</v>
      </c>
      <c r="B10" s="56">
        <v>1213.18</v>
      </c>
    </row>
    <row r="11" spans="1:2" x14ac:dyDescent="0.25">
      <c r="A11" s="44">
        <v>0.87748292143776796</v>
      </c>
      <c r="B11" s="57">
        <v>3913.34</v>
      </c>
    </row>
    <row r="12" spans="1:2" x14ac:dyDescent="0.25">
      <c r="A12" s="43">
        <v>0.90756306359518102</v>
      </c>
      <c r="B12" s="56">
        <v>2493.2800000000002</v>
      </c>
    </row>
    <row r="13" spans="1:2" x14ac:dyDescent="0.25">
      <c r="A13" s="44">
        <v>0.93779442469904395</v>
      </c>
      <c r="B13" s="57">
        <v>2415.88</v>
      </c>
    </row>
    <row r="14" spans="1:2" x14ac:dyDescent="0.25">
      <c r="A14" s="43">
        <v>0.94199220805376005</v>
      </c>
      <c r="B14" s="56">
        <v>1341.08</v>
      </c>
    </row>
    <row r="15" spans="1:2" x14ac:dyDescent="0.25">
      <c r="A15" s="44">
        <v>0.95279268515051696</v>
      </c>
      <c r="B15" s="57">
        <v>3652.09</v>
      </c>
    </row>
    <row r="16" spans="1:2" x14ac:dyDescent="0.25">
      <c r="A16" s="43">
        <v>0.90297883700234904</v>
      </c>
      <c r="B16" s="56">
        <v>1466.13</v>
      </c>
    </row>
    <row r="17" spans="1:2" x14ac:dyDescent="0.25">
      <c r="A17" s="44">
        <v>0.88338721995344505</v>
      </c>
      <c r="B17" s="57">
        <v>1341.2</v>
      </c>
    </row>
    <row r="18" spans="1:2" x14ac:dyDescent="0.25">
      <c r="A18" s="43">
        <v>0.91128957442019898</v>
      </c>
      <c r="B18" s="56">
        <v>521.04999999999995</v>
      </c>
    </row>
    <row r="19" spans="1:2" x14ac:dyDescent="0.25">
      <c r="A19" s="44">
        <v>0.92311889187013596</v>
      </c>
      <c r="B19" s="57">
        <v>5256.51</v>
      </c>
    </row>
    <row r="20" spans="1:2" x14ac:dyDescent="0.25">
      <c r="A20" s="43">
        <v>0.74216968391139604</v>
      </c>
      <c r="B20" s="56">
        <v>1532.71</v>
      </c>
    </row>
    <row r="21" spans="1:2" x14ac:dyDescent="0.25">
      <c r="A21" s="44">
        <v>0.799081716775361</v>
      </c>
      <c r="B21" s="57">
        <v>527.02</v>
      </c>
    </row>
    <row r="22" spans="1:2" x14ac:dyDescent="0.25">
      <c r="A22" s="43">
        <v>0.91341366808004498</v>
      </c>
      <c r="B22" s="56">
        <v>534.11</v>
      </c>
    </row>
    <row r="23" spans="1:2" x14ac:dyDescent="0.25">
      <c r="A23" s="44">
        <v>0.95839160607498097</v>
      </c>
      <c r="B23" s="57">
        <v>743.76</v>
      </c>
    </row>
    <row r="24" spans="1:2" x14ac:dyDescent="0.25">
      <c r="A24" s="43">
        <v>0.86570530039415505</v>
      </c>
      <c r="B24" s="56">
        <v>1174.03</v>
      </c>
    </row>
    <row r="25" spans="1:2" x14ac:dyDescent="0.25">
      <c r="A25" s="44">
        <v>0.86647763898659802</v>
      </c>
      <c r="B25" s="57">
        <v>602.29999999999995</v>
      </c>
    </row>
    <row r="26" spans="1:2" x14ac:dyDescent="0.25">
      <c r="A26" s="43">
        <v>0.88236229634595398</v>
      </c>
      <c r="B26" s="56">
        <v>4965.1000000000004</v>
      </c>
    </row>
    <row r="27" spans="1:2" x14ac:dyDescent="0.25">
      <c r="A27" s="44">
        <v>0.73761595838716898</v>
      </c>
      <c r="B27" s="57">
        <v>2306.98</v>
      </c>
    </row>
    <row r="28" spans="1:2" x14ac:dyDescent="0.25">
      <c r="A28" s="43">
        <v>0.68217944363920402</v>
      </c>
      <c r="B28" s="56">
        <v>1715.95</v>
      </c>
    </row>
    <row r="29" spans="1:2" x14ac:dyDescent="0.25">
      <c r="A29" s="44">
        <v>0.84241916830348396</v>
      </c>
      <c r="B29" s="57">
        <v>26406.59</v>
      </c>
    </row>
    <row r="30" spans="1:2" x14ac:dyDescent="0.25">
      <c r="A30" s="43">
        <v>0.86649811437485902</v>
      </c>
      <c r="B30" s="56">
        <v>18233.88</v>
      </c>
    </row>
    <row r="31" spans="1:2" x14ac:dyDescent="0.25">
      <c r="A31" s="44">
        <v>0.86272798359592295</v>
      </c>
      <c r="B31" s="57">
        <v>2622.11</v>
      </c>
    </row>
    <row r="32" spans="1:2" x14ac:dyDescent="0.25">
      <c r="A32" s="43">
        <v>0.89030005207278295</v>
      </c>
      <c r="B32" s="56">
        <v>33690.120000000003</v>
      </c>
    </row>
    <row r="33" spans="1:2" x14ac:dyDescent="0.25">
      <c r="A33" s="44">
        <v>0.93283881123234602</v>
      </c>
      <c r="B33" s="57">
        <v>14122.45</v>
      </c>
    </row>
    <row r="34" spans="1:2" ht="15.75" thickBot="1" x14ac:dyDescent="0.3">
      <c r="A34" s="45">
        <v>0.87838867253060804</v>
      </c>
      <c r="B34" s="58">
        <v>22419.13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SFA</vt:lpstr>
      <vt:lpstr>Sheet3</vt:lpstr>
      <vt:lpstr>Sheet1</vt:lpstr>
      <vt:lpstr>Sheet4</vt:lpstr>
      <vt:lpstr>Sheet2</vt:lpstr>
      <vt:lpstr>SFA</vt:lpstr>
      <vt:lpstr>Clustering</vt:lpstr>
      <vt:lpstr>Data Clustering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Shintia Putri</dc:creator>
  <cp:lastModifiedBy>Shintia Putri</cp:lastModifiedBy>
  <dcterms:created xsi:type="dcterms:W3CDTF">2025-11-07T04:18:20Z</dcterms:created>
  <dcterms:modified xsi:type="dcterms:W3CDTF">2026-03-31T05:22:03Z</dcterms:modified>
</cp:coreProperties>
</file>